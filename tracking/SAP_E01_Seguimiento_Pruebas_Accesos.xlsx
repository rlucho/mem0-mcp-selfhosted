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eguimiento" sheetId="2" state="visible" r:id="rId4"/>
    <sheet name="Listas" sheetId="3" state="visible" r:id="rId5"/>
  </sheets>
  <definedNames>
    <definedName function="false" hidden="false" localSheetId="2" name="_xlnm.Print_Area" vbProcedure="false">Listas!$A$1:$F$13</definedName>
    <definedName function="false" hidden="false" localSheetId="0" name="_xlnm.Print_Area" vbProcedure="false">Resumen!$A$1:$Q$53</definedName>
    <definedName function="false" hidden="false" localSheetId="1" name="_xlnm.Print_Area" vbProcedure="false">Seguimiento!$A$1:$N$44</definedName>
    <definedName function="false" hidden="false" localSheetId="1" name="_xlnm.Print_Titles" vbProcedure="false">Seguimiento!$1:$6</definedName>
    <definedName function="false" hidden="true" localSheetId="1" name="_xlnm._FilterDatabase" vbProcedure="false">Seguimiento!$A$6:$N$33</definedName>
    <definedName function="false" hidden="false" name="lst_Accion" vbProcedure="false">Listas!$C$6:$C$13</definedName>
    <definedName function="false" hidden="false" name="lst_Conexion" vbProcedure="false">Listas!$D$6:$D$9</definedName>
    <definedName function="false" hidden="false" name="lst_Criticidad" vbProcedure="false">Listas!$E$6:$E$9</definedName>
    <definedName function="false" hidden="false" name="lst_Estado" vbProcedure="false">Listas!$B$6:$B$10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6" authorId="0">
      <text>
        <r>
          <rPr>
            <sz val="10"/>
            <rFont val="Arial"/>
            <family val="2"/>
          </rPr>
          <t xml:space="preserve">Columna calculada — no la edite.
Acceso total (WiFi + Cable): WiFi = OK y Cable = OK
Solo WiFi: WiFi = OK y Cable distinto de OK
Solo cable Ethernet: Cable = OK y WiFi distinto de OK
Sin acceso: WiFi = KO y Cable = KO
Pendiente: cualquier otra combinación</t>
        </r>
      </text>
    </comment>
    <comment ref="J6" authorId="0">
      <text>
        <r>
          <rPr>
            <sz val="10"/>
            <rFont val="Arial"/>
            <family val="2"/>
          </rPr>
          <t xml:space="preserve">La criticidad precargada es una PROPUESTA INICIAL: no venía en el listado de origen.
Ajústela según el impacto real en el negocio.</t>
        </r>
      </text>
    </comment>
  </commentList>
</comments>
</file>

<file path=xl/sharedStrings.xml><?xml version="1.0" encoding="utf-8"?>
<sst xmlns="http://schemas.openxmlformats.org/spreadsheetml/2006/main" count="301" uniqueCount="147">
  <si>
    <t xml:space="preserve">PANEL DE CONTROL — PRUEBAS DE ACCESO A SISTEMAS</t>
  </si>
  <si>
    <t xml:space="preserve">SAP E01  ·  Todos los indicadores se calculan a partir de la hoja «Seguimiento» y se actualizan solos al editarla</t>
  </si>
  <si>
    <t xml:space="preserve">SISTEMAS EN SEGUIMIENTO</t>
  </si>
  <si>
    <t xml:space="preserve">YA PROBADOS</t>
  </si>
  <si>
    <t xml:space="preserve">PENDIENTES DE PROBAR</t>
  </si>
  <si>
    <t xml:space="preserve">% DE AVANCE DE LAS PRUEBAS</t>
  </si>
  <si>
    <t xml:space="preserve">ACCESO TOTAL (WIFI + CABLE)</t>
  </si>
  <si>
    <t xml:space="preserve">ACCESO LIMITADO (UN SOLO MEDIO)</t>
  </si>
  <si>
    <t xml:space="preserve">SIN ACCESO</t>
  </si>
  <si>
    <t xml:space="preserve">CRÍTICOS SIN ACCESO COMPLETO</t>
  </si>
  <si>
    <t xml:space="preserve">DISTRIBUCIÓN POR RESULTADO DE CONECTIVIDAD</t>
  </si>
  <si>
    <t xml:space="preserve">Resultado de conectividad</t>
  </si>
  <si>
    <t xml:space="preserve">Sistemas</t>
  </si>
  <si>
    <t xml:space="preserve">% del total</t>
  </si>
  <si>
    <t xml:space="preserve">Acceso total (WiFi + Cable)</t>
  </si>
  <si>
    <t xml:space="preserve">Solo WiFi</t>
  </si>
  <si>
    <t xml:space="preserve">Solo cable Ethernet</t>
  </si>
  <si>
    <t xml:space="preserve">Sin acceso</t>
  </si>
  <si>
    <t xml:space="preserve">Pendiente</t>
  </si>
  <si>
    <t xml:space="preserve">No aplica</t>
  </si>
  <si>
    <t xml:space="preserve">TOTAL</t>
  </si>
  <si>
    <t xml:space="preserve">DISTRIBUCIÓN POR ÁREA FUNCIONAL</t>
  </si>
  <si>
    <t xml:space="preserve">Área funcional</t>
  </si>
  <si>
    <t xml:space="preserve">Acceso total</t>
  </si>
  <si>
    <t xml:space="preserve">Acceso limitado</t>
  </si>
  <si>
    <t xml:space="preserve">SAP E01 / ERP</t>
  </si>
  <si>
    <t xml:space="preserve">WITRON / CPMS</t>
  </si>
  <si>
    <t xml:space="preserve">CARPA</t>
  </si>
  <si>
    <t xml:space="preserve">Cuentas a pagar (Matchpay)</t>
  </si>
  <si>
    <t xml:space="preserve">Facturación electrónica</t>
  </si>
  <si>
    <t xml:space="preserve">Ofimática y colaboración</t>
  </si>
  <si>
    <t xml:space="preserve">Escritorio remoto</t>
  </si>
  <si>
    <t xml:space="preserve">PRÓXIMAS ACCIONES</t>
  </si>
  <si>
    <t xml:space="preserve">Próxima acción</t>
  </si>
  <si>
    <t xml:space="preserve">De los cuales, críticos o de prioridad alta</t>
  </si>
  <si>
    <t xml:space="preserve">Ninguna</t>
  </si>
  <si>
    <t xml:space="preserve">Programar prueba</t>
  </si>
  <si>
    <t xml:space="preserve">Instalar / Configurar</t>
  </si>
  <si>
    <t xml:space="preserve">Solicitar acceso a IT</t>
  </si>
  <si>
    <t xml:space="preserve">Escalar a IT / Redes</t>
  </si>
  <si>
    <t xml:space="preserve">Revisar VPN / Firewall</t>
  </si>
  <si>
    <t xml:space="preserve">Reprogramar prueba</t>
  </si>
  <si>
    <t xml:space="preserve">En seguimiento</t>
  </si>
  <si>
    <t xml:space="preserve">•   Fuente: listado «SAP E01 – Pendiente de prueba» facilitado por el usuario. Los resultados de WiFi y de cable Ethernet reproducen literalmente ese listado.</t>
  </si>
  <si>
    <t xml:space="preserve">•   La columna «Criticidad» de la hoja «Seguimiento» es una propuesta inicial y no venía en el listado de origen: revísela antes de usarla para priorizar.</t>
  </si>
  <si>
    <t xml:space="preserve">•   Ningún indicador de esta hoja está escrito a mano: todos son fórmulas COUNTIF/COUNTIFS sobre la hoja «Seguimiento» (filas 7 a 33, con margen para dar de alta sistemas nuevos).</t>
  </si>
  <si>
    <t xml:space="preserve">SEGUIMIENTO DE PRUEBAS DE ACCESO A SISTEMAS</t>
  </si>
  <si>
    <t xml:space="preserve">SAP E01  ·  Validación de conectividad desde la red de DS Smith  —  WiFi vs. cable Ethernet</t>
  </si>
  <si>
    <t xml:space="preserve">CÓMO USAR ESTA HOJA:   rellene únicamente las celdas de fondo crema — «Estado de la prueba», «WiFi», «Cable Ethernet», «Criticidad», «Responsable», «Fecha de prueba», «Próxima acción» y «Observaciones» —, todas ellas con desplegable salvo las de texto libre y la fecha.   La columna «Resultado de conectividad» se calcula sola y no debe editarse.   Las filas vacías del final están listas para añadir sistemas nuevos: se contabilizan solas en la hoja «Resumen».</t>
  </si>
  <si>
    <t xml:space="preserve">■  Acceso total</t>
  </si>
  <si>
    <t xml:space="preserve">■  Solo WiFi / solo cable</t>
  </si>
  <si>
    <t xml:space="preserve">■  Sin acceso</t>
  </si>
  <si>
    <t xml:space="preserve">■  Pendiente</t>
  </si>
  <si>
    <t xml:space="preserve">■  En curso</t>
  </si>
  <si>
    <t xml:space="preserve">■  Celdas a rellenar (fondo crema)</t>
  </si>
  <si>
    <t xml:space="preserve">N.º</t>
  </si>
  <si>
    <t xml:space="preserve">Sistema / Aplicación</t>
  </si>
  <si>
    <t xml:space="preserve">Ámbito geográfico</t>
  </si>
  <si>
    <t xml:space="preserve">URL / Vía de acceso</t>
  </si>
  <si>
    <t xml:space="preserve">Estado de la prueba</t>
  </si>
  <si>
    <t xml:space="preserve">WiFi</t>
  </si>
  <si>
    <t xml:space="preserve">Cable Ethernet</t>
  </si>
  <si>
    <t xml:space="preserve">Criticidad</t>
  </si>
  <si>
    <t xml:space="preserve">Responsable</t>
  </si>
  <si>
    <t xml:space="preserve">Fecha de prueba</t>
  </si>
  <si>
    <t xml:space="preserve">Observaciones</t>
  </si>
  <si>
    <t xml:space="preserve">AS400</t>
  </si>
  <si>
    <t xml:space="preserve">España (Las Palmas y Tenerife), Francia e Italia</t>
  </si>
  <si>
    <t xml:space="preserve">Cliente / emulador AS400</t>
  </si>
  <si>
    <t xml:space="preserve">Pendiente de prueba</t>
  </si>
  <si>
    <t xml:space="preserve">No probado</t>
  </si>
  <si>
    <t xml:space="preserve">Crítica</t>
  </si>
  <si>
    <t xml:space="preserve">Pendiente de probar en las tres geografías (España, Francia e Italia).</t>
  </si>
  <si>
    <t xml:space="preserve">Citrix — acceso a WITRON</t>
  </si>
  <si>
    <t xml:space="preserve">España, Italia y Francia</t>
  </si>
  <si>
    <t xml:space="preserve">https://ipstorefront.ipaper.com/</t>
  </si>
  <si>
    <t xml:space="preserve">Probado</t>
  </si>
  <si>
    <t xml:space="preserve">OK</t>
  </si>
  <si>
    <t xml:space="preserve">KO</t>
  </si>
  <si>
    <t xml:space="preserve">Probado con éxito mediante WiFi. Por cable Ethernet no funciona (WITRON/CPMS — España).</t>
  </si>
  <si>
    <t xml:space="preserve">Sage — acceso a Adonix (CARPA)</t>
  </si>
  <si>
    <t xml:space="preserve">España (CARPA)</t>
  </si>
  <si>
    <t xml:space="preserve">http://ub99sagep03:8124/auth/login/page</t>
  </si>
  <si>
    <t xml:space="preserve">Alta</t>
  </si>
  <si>
    <t xml:space="preserve">Sin acceso desde la red de DS Smith, ni por WiFi ni por cable. En el listado original aparecía duplicado (bloques 1 y 2) con el mismo resultado; se ha consolidado en esta única fila.</t>
  </si>
  <si>
    <t xml:space="preserve">SharePoint / OneDrive IP</t>
  </si>
  <si>
    <t xml:space="preserve">Global</t>
  </si>
  <si>
    <t xml:space="preserve">https://ipapercloud.sharepoint.com/</t>
  </si>
  <si>
    <t xml:space="preserve">Media</t>
  </si>
  <si>
    <t xml:space="preserve">Probado con éxito mediante WiFi y cable Ethernet.</t>
  </si>
  <si>
    <t xml:space="preserve">DMT Tool</t>
  </si>
  <si>
    <t xml:space="preserve">https://apps.powerapps.com/</t>
  </si>
  <si>
    <t xml:space="preserve">SERES Tool</t>
  </si>
  <si>
    <t xml:space="preserve">España</t>
  </si>
  <si>
    <t xml:space="preserve">https://miacceso.e-factura.net/</t>
  </si>
  <si>
    <t xml:space="preserve">Acceso remoto a RSVGEST (escritorio)</t>
  </si>
  <si>
    <t xml:space="preserve">España (Tavernes Madera)</t>
  </si>
  <si>
    <t xml:space="preserve">Escritorio remoto al PC de Tavernes Madera</t>
  </si>
  <si>
    <t xml:space="preserve">Pendiente de instalación</t>
  </si>
  <si>
    <t xml:space="preserve">Pendiente de instalación para poder probarlo.</t>
  </si>
  <si>
    <t xml:space="preserve">Gestión PDF — descarga de facturas SERES</t>
  </si>
  <si>
    <t xml:space="preserve">Aplicación de escritorio (descarga de PDF desde SERES)</t>
  </si>
  <si>
    <t xml:space="preserve">My Access</t>
  </si>
  <si>
    <t xml:space="preserve">https://myaccess.ipaper.com/</t>
  </si>
  <si>
    <t xml:space="preserve">OCR</t>
  </si>
  <si>
    <t xml:space="preserve">EMEA</t>
  </si>
  <si>
    <t xml:space="preserve">https://ocr.emea.ipaper.com/</t>
  </si>
  <si>
    <t xml:space="preserve">Sin acceso ni por WiFi ni por cable.</t>
  </si>
  <si>
    <t xml:space="preserve">ECM</t>
  </si>
  <si>
    <t xml:space="preserve">https://ecm.emea.ipaper.com/</t>
  </si>
  <si>
    <t xml:space="preserve">Con acceso tanto por WiFi como por cable.</t>
  </si>
  <si>
    <t xml:space="preserve">Xelix</t>
  </si>
  <si>
    <t xml:space="preserve">https://ap.xelix.com/login</t>
  </si>
  <si>
    <t xml:space="preserve">Accounts Payable (Matchpay)</t>
  </si>
  <si>
    <t xml:space="preserve">URL no facilitada en el listado original</t>
  </si>
  <si>
    <t xml:space="preserve">Sin acceso ni por WiFi ni por cable. Falta confirmar la URL de acceso.</t>
  </si>
  <si>
    <t xml:space="preserve">AP Upload (Matchpay)</t>
  </si>
  <si>
    <t xml:space="preserve">https://apupload.ipaper.com/</t>
  </si>
  <si>
    <t xml:space="preserve">BI iPaper — informes Matchpay</t>
  </si>
  <si>
    <t xml:space="preserve">https://bi.ipaper.com/BOE/BI/logonNoSso.jsp</t>
  </si>
  <si>
    <t xml:space="preserve">Filenet Load Activity (Matchpay)</t>
  </si>
  <si>
    <t xml:space="preserve">Norteamérica</t>
  </si>
  <si>
    <t xml:space="preserve">http://s02afnbgp03.na.ipaper.com/P8LoadViewer/</t>
  </si>
  <si>
    <t xml:space="preserve">Sin acceso ni por WiFi ni por cable. La URL completa del listado original incluye el parámetro ?TeamsCID=c00c9452-e557-4935-b77a-43fc65957a5b.</t>
  </si>
  <si>
    <t xml:space="preserve">Arrows (CARPA)</t>
  </si>
  <si>
    <t xml:space="preserve">Acceso mediante escritorio remoto</t>
  </si>
  <si>
    <t xml:space="preserve">FILA DE EJEMPLO — muestra el formato esperado al dar de alta un sistema nuevo. No se contabiliza en la hoja «Resumen»; escriba los sistemas nuevos en las filas libres de la tabla de arriba.</t>
  </si>
  <si>
    <t xml:space="preserve">18</t>
  </si>
  <si>
    <t xml:space="preserve">Nombre del sistema</t>
  </si>
  <si>
    <t xml:space="preserve">https://ejemplo.ipaper.com/</t>
  </si>
  <si>
    <t xml:space="preserve">Nombre y apellidos</t>
  </si>
  <si>
    <t xml:space="preserve">12/08/2026</t>
  </si>
  <si>
    <t xml:space="preserve">Acceso correcto por WiFi; por cable Ethernet devuelve tiempo de espera agotado.</t>
  </si>
  <si>
    <t xml:space="preserve">NOTAS Y SUPUESTOS</t>
  </si>
  <si>
    <t xml:space="preserve">•   Fuente de los datos: listado «SAP E01 – Pendiente de prueba» facilitado por el usuario. Los estados y resultados de WiFi/cable reproducen literalmente ese listado.</t>
  </si>
  <si>
    <t xml:space="preserve">•   «Criticidad»: propuesta inicial elaborada al construir este libro; NO figuraba en el listado de origen. Revísela y ajústela.</t>
  </si>
  <si>
    <t xml:space="preserve">•   «Sage — acceso a Adonix (CARPA)» aparecía dos veces en el listado de origen (bloques 1 y 2) con idéntico resultado: se ha consolidado en una sola fila (N.º 3). Por eso el libro recoge 17 sistemas y no 18.</t>
  </si>
  <si>
    <t xml:space="preserve">•   «Accounts Payable (Matchpay)» no traía URL en el listado de origen; queda pendiente de confirmar.</t>
  </si>
  <si>
    <t xml:space="preserve">•   «Responsable» y «Fecha de prueba» se dejan en blanco a propósito, para que los complete quien realice las pruebas.</t>
  </si>
  <si>
    <t xml:space="preserve">•   Todo lo que se escriba en las filas libres de la tabla se suma automáticamente a los indicadores de la hoja «Resumen».</t>
  </si>
  <si>
    <t xml:space="preserve">LISTAS DE VALORES DE LOS DESPLEGABLES</t>
  </si>
  <si>
    <t xml:space="preserve">Puede añadir o modificar valores en estas columnas: los desplegables de la hoja «Seguimiento» se actualizan automáticamente. No borre las cabeceras.</t>
  </si>
  <si>
    <t xml:space="preserve">WiFi / Cable</t>
  </si>
  <si>
    <t xml:space="preserve">Resultado (calculado)</t>
  </si>
  <si>
    <t xml:space="preserve">En curso</t>
  </si>
  <si>
    <t xml:space="preserve">N/A</t>
  </si>
  <si>
    <t xml:space="preserve">Baja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</si>
</sst>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;;\–"/>
    <numFmt numFmtId="168" formatCode="dd/mm/yyyy"/>
  </numFmts>
  <fonts count="39">
    <font>
      <sz val="10"/>
      <color rgb="FF1F2933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.5"/>
      <color rgb="FFC9D8E8"/>
      <name val="Arial"/>
      <family val="0"/>
      <charset val="1"/>
    </font>
    <font>
      <b val="true"/>
      <sz val="26"/>
      <color rgb="FF1B3A5C"/>
      <name val="Arial"/>
      <family val="0"/>
      <charset val="1"/>
    </font>
    <font>
      <b val="true"/>
      <sz val="26"/>
      <color rgb="FF146C43"/>
      <name val="Arial"/>
      <family val="0"/>
      <charset val="1"/>
    </font>
    <font>
      <b val="true"/>
      <sz val="26"/>
      <color rgb="FF8A5A00"/>
      <name val="Arial"/>
      <family val="0"/>
      <charset val="1"/>
    </font>
    <font>
      <b val="true"/>
      <sz val="8"/>
      <color rgb="FF6B7683"/>
      <name val="Arial"/>
      <family val="0"/>
      <charset val="1"/>
    </font>
    <font>
      <b val="true"/>
      <sz val="26"/>
      <color rgb="FFA32B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46C43"/>
      <name val="Arial"/>
      <family val="0"/>
      <charset val="1"/>
    </font>
    <font>
      <b val="true"/>
      <sz val="11"/>
      <color rgb="FF1F2933"/>
      <name val="Arial"/>
      <family val="0"/>
      <charset val="1"/>
    </font>
    <font>
      <sz val="10"/>
      <color rgb="FF6B7683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10"/>
      <color rgb="FFA32B22"/>
      <name val="Arial"/>
      <family val="0"/>
      <charset val="1"/>
    </font>
    <font>
      <b val="true"/>
      <sz val="10"/>
      <color rgb="FF5A65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i val="true"/>
      <sz val="9"/>
      <color rgb="FF6B7683"/>
      <name val="Arial"/>
      <family val="0"/>
      <charset val="1"/>
    </font>
    <font>
      <sz val="8.5"/>
      <color rgb="FF6B768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6B5320"/>
      <name val="Arial"/>
      <family val="0"/>
      <charset val="1"/>
    </font>
    <font>
      <b val="true"/>
      <sz val="9"/>
      <color rgb="FF146C43"/>
      <name val="Arial"/>
      <family val="0"/>
      <charset val="1"/>
    </font>
    <font>
      <b val="true"/>
      <sz val="9"/>
      <color rgb="FF8A5A00"/>
      <name val="Arial"/>
      <family val="0"/>
      <charset val="1"/>
    </font>
    <font>
      <b val="true"/>
      <sz val="9"/>
      <color rgb="FFA32B22"/>
      <name val="Arial"/>
      <family val="0"/>
      <charset val="1"/>
    </font>
    <font>
      <b val="true"/>
      <sz val="9"/>
      <color rgb="FF5A6572"/>
      <name val="Arial"/>
      <family val="0"/>
      <charset val="1"/>
    </font>
    <font>
      <b val="true"/>
      <sz val="9"/>
      <color rgb="FF1B4F86"/>
      <name val="Arial"/>
      <family val="0"/>
      <charset val="1"/>
    </font>
    <font>
      <b val="true"/>
      <sz val="9"/>
      <color rgb="FF6B5320"/>
      <name val="Arial"/>
      <family val="0"/>
      <charset val="1"/>
    </font>
    <font>
      <b val="true"/>
      <sz val="10"/>
      <color rgb="FF6B7683"/>
      <name val="Arial"/>
      <family val="0"/>
      <charset val="1"/>
    </font>
    <font>
      <sz val="9"/>
      <color rgb="FF4A5462"/>
      <name val="Arial"/>
      <family val="0"/>
      <charset val="1"/>
    </font>
    <font>
      <u val="single"/>
      <sz val="9"/>
      <color rgb="FF1B5FAA"/>
      <name val="Arial"/>
      <family val="0"/>
      <charset val="1"/>
    </font>
    <font>
      <b val="true"/>
      <i val="true"/>
      <sz val="9"/>
      <color rgb="FF6B7683"/>
      <name val="Arial"/>
      <family val="0"/>
      <charset val="1"/>
    </font>
    <font>
      <b val="true"/>
      <i val="true"/>
      <sz val="9"/>
      <color rgb="FF8A5A00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6324F"/>
        <bgColor rgb="FF1B3A5C"/>
      </patternFill>
    </fill>
    <fill>
      <patternFill patternType="solid">
        <fgColor rgb="FF22496F"/>
        <bgColor rgb="FF1B4F86"/>
      </patternFill>
    </fill>
    <fill>
      <patternFill patternType="solid">
        <fgColor rgb="FFF2F6FA"/>
        <bgColor rgb="FFF6F9FC"/>
      </patternFill>
    </fill>
    <fill>
      <patternFill patternType="solid">
        <fgColor rgb="FF1B3A5C"/>
        <bgColor rgb="FF16324F"/>
      </patternFill>
    </fill>
    <fill>
      <patternFill patternType="solid">
        <fgColor rgb="FFDFF3E6"/>
        <bgColor rgb="FFE1EDF9"/>
      </patternFill>
    </fill>
    <fill>
      <patternFill patternType="solid">
        <fgColor rgb="FFFDF1D8"/>
        <bgColor rgb="FFFCF6E4"/>
      </patternFill>
    </fill>
    <fill>
      <patternFill patternType="solid">
        <fgColor rgb="FFFBE0DE"/>
        <bgColor rgb="FFFDF1D8"/>
      </patternFill>
    </fill>
    <fill>
      <patternFill patternType="solid">
        <fgColor rgb="FFEDF0F4"/>
        <bgColor rgb="FFF2F6FA"/>
      </patternFill>
    </fill>
    <fill>
      <patternFill patternType="solid">
        <fgColor rgb="FFFFFFFF"/>
        <bgColor rgb="FFFBFCFD"/>
      </patternFill>
    </fill>
    <fill>
      <patternFill patternType="solid">
        <fgColor rgb="FFF6F9FC"/>
        <bgColor rgb="FFFAFBFD"/>
      </patternFill>
    </fill>
    <fill>
      <patternFill patternType="solid">
        <fgColor rgb="FFFCF6E4"/>
        <bgColor rgb="FFFDF1D8"/>
      </patternFill>
    </fill>
    <fill>
      <patternFill patternType="solid">
        <fgColor rgb="FFE1EDF9"/>
        <bgColor rgb="FFEDF0F4"/>
      </patternFill>
    </fill>
    <fill>
      <patternFill patternType="solid">
        <fgColor rgb="FFFFFDF0"/>
        <bgColor rgb="FFFBFCFD"/>
      </patternFill>
    </fill>
    <fill>
      <patternFill patternType="solid">
        <fgColor rgb="FFFAFBFD"/>
        <bgColor rgb="FFFBFCFD"/>
      </patternFill>
    </fill>
    <fill>
      <patternFill patternType="solid">
        <fgColor rgb="FFFBFCFD"/>
        <bgColor rgb="FFFAFBFD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D5DDE6"/>
      </left>
      <right/>
      <top style="medium">
        <color rgb="FF1B3A5C"/>
      </top>
      <bottom/>
      <diagonal/>
    </border>
    <border diagonalUp="false" diagonalDown="false">
      <left style="thin">
        <color rgb="FFD5DDE6"/>
      </left>
      <right/>
      <top style="medium">
        <color rgb="FF146C43"/>
      </top>
      <bottom/>
      <diagonal/>
    </border>
    <border diagonalUp="false" diagonalDown="false">
      <left style="thin">
        <color rgb="FFD5DDE6"/>
      </left>
      <right/>
      <top style="medium">
        <color rgb="FF8A5A00"/>
      </top>
      <bottom/>
      <diagonal/>
    </border>
    <border diagonalUp="false" diagonalDown="false">
      <left style="thin">
        <color rgb="FFD5DDE6"/>
      </left>
      <right/>
      <top/>
      <bottom style="thin">
        <color rgb="FFD5DDE6"/>
      </bottom>
      <diagonal/>
    </border>
    <border diagonalUp="false" diagonalDown="false">
      <left style="thin">
        <color rgb="FFD5DDE6"/>
      </left>
      <right/>
      <top style="medium">
        <color rgb="FFA32B22"/>
      </top>
      <bottom/>
      <diagonal/>
    </border>
    <border diagonalUp="false" diagonalDown="false">
      <left style="thin">
        <color rgb="FFD5DDE6"/>
      </left>
      <right/>
      <top style="thin">
        <color rgb="FFD5DDE6"/>
      </top>
      <bottom style="thin">
        <color rgb="FFD5DDE6"/>
      </bottom>
      <diagonal/>
    </border>
    <border diagonalUp="false" diagonalDown="false">
      <left style="thin">
        <color rgb="FFD5DDE6"/>
      </left>
      <right style="thin">
        <color rgb="FFD5DDE6"/>
      </right>
      <top style="thin">
        <color rgb="FFD5DDE6"/>
      </top>
      <bottom style="thin">
        <color rgb="FFD5DDE6"/>
      </bottom>
      <diagonal/>
    </border>
    <border diagonalUp="false" diagonalDown="false">
      <left style="thick">
        <color rgb="FFD99B2B"/>
      </left>
      <right/>
      <top/>
      <bottom/>
      <diagonal/>
    </border>
    <border diagonalUp="false" diagonalDown="false">
      <left style="thin">
        <color rgb="FFD5DDE6"/>
      </left>
      <right style="thin">
        <color rgb="FFD5DDE6"/>
      </right>
      <top style="medium">
        <color rgb="FF1B3A5C"/>
      </top>
      <bottom style="medium">
        <color rgb="FF1B3A5C"/>
      </bottom>
      <diagonal/>
    </border>
    <border diagonalUp="false" diagonalDown="false">
      <left style="thin">
        <color rgb="FFD5DDE6"/>
      </left>
      <right style="thin">
        <color rgb="FFD5DDE6"/>
      </right>
      <top style="thin">
        <color rgb="FFD5DDE6"/>
      </top>
      <bottom style="dashed">
        <color rgb="FFD99B2B"/>
      </bottom>
      <diagonal/>
    </border>
    <border diagonalUp="false" diagonalDown="false">
      <left style="thin">
        <color rgb="FFD5DDE6"/>
      </left>
      <right style="thin">
        <color rgb="FFD5DDE6"/>
      </right>
      <top style="thin">
        <color rgb="FFD5DDE6"/>
      </top>
      <bottom style="medium">
        <color rgb="FF1B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8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9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12" borderId="8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0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2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1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11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1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2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0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2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5" fillId="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3" fillId="16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3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1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6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683"/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A32B22"/>
          <bgColor rgb="FF000000"/>
        </patternFill>
      </fill>
    </dxf>
    <dxf>
      <fill>
        <patternFill patternType="solid">
          <fgColor rgb="FF1B5FAA"/>
          <bgColor rgb="FF000000"/>
        </patternFill>
      </fill>
    </dxf>
    <dxf>
      <fill>
        <patternFill patternType="solid">
          <fgColor rgb="FFDFF3E6"/>
          <bgColor rgb="FF000000"/>
        </patternFill>
      </fill>
    </dxf>
    <dxf>
      <fill>
        <patternFill patternType="solid">
          <fgColor rgb="FFFDF1D8"/>
          <bgColor rgb="FF000000"/>
        </patternFill>
      </fill>
    </dxf>
    <dxf>
      <fill>
        <patternFill patternType="solid">
          <fgColor rgb="FFFFFDF0"/>
          <bgColor rgb="FF000000"/>
        </patternFill>
      </fill>
    </dxf>
    <dxf>
      <fill>
        <patternFill patternType="solid">
          <fgColor rgb="FF146C43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EDF0F4"/>
          <bgColor rgb="FF000000"/>
        </patternFill>
      </fill>
    </dxf>
    <dxf>
      <fill>
        <patternFill patternType="solid">
          <fgColor rgb="FFFBE0DE"/>
          <bgColor rgb="FF000000"/>
        </patternFill>
      </fill>
    </dxf>
    <dxf>
      <fill>
        <patternFill patternType="solid">
          <fgColor rgb="FF5A6572"/>
          <bgColor rgb="FF000000"/>
        </patternFill>
      </fill>
    </dxf>
    <dxf>
      <fill>
        <patternFill patternType="solid">
          <fgColor rgb="FFE1EDF9"/>
          <bgColor rgb="FF000000"/>
        </patternFill>
      </fill>
    </dxf>
    <dxf>
      <fill>
        <patternFill patternType="solid">
          <fgColor rgb="FF1B4F86"/>
          <bgColor rgb="FF000000"/>
        </patternFill>
      </fill>
    </dxf>
    <dxf>
      <fill>
        <patternFill patternType="solid">
          <fgColor rgb="FF4A5462"/>
          <bgColor rgb="FF000000"/>
        </patternFill>
      </fill>
    </dxf>
    <dxf>
      <font>
        <name val="Arial"/>
        <charset val="1"/>
        <family val="0"/>
        <b val="1"/>
        <color rgb="FF146C43"/>
        <sz val="10"/>
      </font>
      <fill>
        <patternFill>
          <bgColor rgb="FFDFF3E6"/>
        </patternFill>
      </fill>
    </dxf>
    <dxf>
      <font>
        <name val="Arial"/>
        <charset val="1"/>
        <family val="0"/>
        <b val="1"/>
        <color rgb="FFA32B22"/>
        <sz val="10"/>
      </font>
      <fill>
        <patternFill>
          <bgColor rgb="FFFBE0DE"/>
        </patternFill>
      </fill>
    </dxf>
    <dxf>
      <font>
        <name val="Arial"/>
        <charset val="1"/>
        <family val="0"/>
        <b val="1"/>
        <color rgb="FF5A6572"/>
        <sz val="10"/>
      </font>
      <fill>
        <patternFill>
          <bgColor rgb="FFEDF0F4"/>
        </patternFill>
      </fill>
    </dxf>
    <dxf>
      <font>
        <name val="Arial"/>
        <charset val="1"/>
        <family val="0"/>
        <b val="1"/>
        <color rgb="FF8A5A00"/>
        <sz val="10"/>
      </font>
      <fill>
        <patternFill>
          <bgColor rgb="FFFDF1D8"/>
        </patternFill>
      </fill>
    </dxf>
    <dxf>
      <font>
        <name val="Arial"/>
        <charset val="1"/>
        <family val="0"/>
        <b val="1"/>
        <color rgb="FF1B4F86"/>
        <sz val="10"/>
      </font>
      <fill>
        <patternFill>
          <bgColor rgb="FFE1EDF9"/>
        </patternFill>
      </fill>
    </dxf>
    <dxf>
      <font>
        <name val="Arial"/>
        <charset val="1"/>
        <family val="0"/>
        <b val="1"/>
        <color rgb="FFA32B22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DF0"/>
      <rgbColor rgb="FFFF00FF"/>
      <rgbColor rgb="FF00FFFF"/>
      <rgbColor rgb="FF800000"/>
      <rgbColor rgb="FF4A5462"/>
      <rgbColor rgb="FF000080"/>
      <rgbColor rgb="FF8A5A00"/>
      <rgbColor rgb="FF800080"/>
      <rgbColor rgb="FF1E7B4F"/>
      <rgbColor rgb="FFCBD3DB"/>
      <rgbColor rgb="FF878787"/>
      <rgbColor rgb="FF9AA7B4"/>
      <rgbColor rgb="FFC0392B"/>
      <rgbColor rgb="FFFCF6E4"/>
      <rgbColor rgb="FFDFF3E6"/>
      <rgbColor rgb="FF660066"/>
      <rgbColor rgb="FFD99B2B"/>
      <rgbColor rgb="FF1B5FAA"/>
      <rgbColor rgb="FFC9D8E8"/>
      <rgbColor rgb="FF000080"/>
      <rgbColor rgb="FFFF00FF"/>
      <rgbColor rgb="FFF6F9FC"/>
      <rgbColor rgb="FF00FFFF"/>
      <rgbColor rgb="FF800080"/>
      <rgbColor rgb="FF800000"/>
      <rgbColor rgb="FF146C43"/>
      <rgbColor rgb="FF0000FF"/>
      <rgbColor rgb="FF00CCFF"/>
      <rgbColor rgb="FFE1EDF9"/>
      <rgbColor rgb="FFEDF0F4"/>
      <rgbColor rgb="FFFDF1D8"/>
      <rgbColor rgb="FFD5DDE6"/>
      <rgbColor rgb="FFF2F6FA"/>
      <rgbColor rgb="FFD9D9D9"/>
      <rgbColor rgb="FFFBE0DE"/>
      <rgbColor rgb="FF4F81BD"/>
      <rgbColor rgb="FF33CCCC"/>
      <rgbColor rgb="FFFBFCFD"/>
      <rgbColor rgb="FFFAFBFD"/>
      <rgbColor rgb="FFE0A030"/>
      <rgbColor rgb="FFB9762F"/>
      <rgbColor rgb="FF5A6572"/>
      <rgbColor rgb="FF94A2B0"/>
      <rgbColor rgb="FF16324F"/>
      <rgbColor rgb="FF6B7683"/>
      <rgbColor rgb="FF1B4F86"/>
      <rgbColor rgb="FF1B3A5C"/>
      <rgbColor rgb="FFA32B22"/>
      <rgbColor rgb="FF6B5320"/>
      <rgbColor rgb="FF22496F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Resultado de conectividad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Resumen!E11</c:f>
              <c:strCache>
                <c:ptCount val="1"/>
                <c:pt idx="0">
                  <c:v>Sistemas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e7b4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a03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9762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4"/>
            <c:spPr>
              <a:solidFill>
                <a:srgbClr val="94a2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bd3d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Resumen!$B$12:$B$17</c:f>
              <c:strCache>
                <c:ptCount val="6"/>
                <c:pt idx="0">
                  <c:v>Acceso total (WiFi + Cable)</c:v>
                </c:pt>
                <c:pt idx="1">
                  <c:v>Solo WiFi</c:v>
                </c:pt>
                <c:pt idx="2">
                  <c:v>Solo cable Ethernet</c:v>
                </c:pt>
                <c:pt idx="3">
                  <c:v>Sin acceso</c:v>
                </c:pt>
                <c:pt idx="4">
                  <c:v>Pendiente</c:v>
                </c:pt>
                <c:pt idx="5">
                  <c:v>No aplica</c:v>
                </c:pt>
              </c:strCache>
            </c:strRef>
          </c:cat>
          <c:val>
            <c:numRef>
              <c:f>Resumen!$E$12:$E$17</c:f>
              <c:numCache>
                <c:formatCode>#,##0</c:formatCode>
                <c:ptCount val="6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Situación por área funcional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Resumen!F25</c:f>
              <c:strCache>
                <c:ptCount val="1"/>
                <c:pt idx="0">
                  <c:v>Acceso total</c:v>
                </c:pt>
              </c:strCache>
            </c:strRef>
          </c:tx>
          <c:spPr>
            <a:solidFill>
              <a:srgbClr val="1e7b4f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Resumen!$B$26:$B$32</c:f>
              <c:strCache>
                <c:ptCount val="7"/>
                <c:pt idx="0">
                  <c:v>SAP E01 / ERP</c:v>
                </c:pt>
                <c:pt idx="1">
                  <c:v>WITRON / CPMS</c:v>
                </c:pt>
                <c:pt idx="2">
                  <c:v>CARPA</c:v>
                </c:pt>
                <c:pt idx="3">
                  <c:v>Cuentas a pagar (Matchpay)</c:v>
                </c:pt>
                <c:pt idx="4">
                  <c:v>Facturación electrónica</c:v>
                </c:pt>
                <c:pt idx="5">
                  <c:v>Ofimática y colaboración</c:v>
                </c:pt>
                <c:pt idx="6">
                  <c:v>Escritorio remoto</c:v>
                </c:pt>
              </c:strCache>
            </c:strRef>
          </c:cat>
          <c:val>
            <c:numRef>
              <c:f>Resumen!$F$26:$F$32</c:f>
              <c:numCache>
                <c:formatCode>#,##0;;\–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Resumen!G25</c:f>
              <c:strCache>
                <c:ptCount val="1"/>
                <c:pt idx="0">
                  <c:v>Acceso limitado</c:v>
                </c:pt>
              </c:strCache>
            </c:strRef>
          </c:tx>
          <c:spPr>
            <a:solidFill>
              <a:srgbClr val="e0a03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Resumen!$B$26:$B$32</c:f>
              <c:strCache>
                <c:ptCount val="7"/>
                <c:pt idx="0">
                  <c:v>SAP E01 / ERP</c:v>
                </c:pt>
                <c:pt idx="1">
                  <c:v>WITRON / CPMS</c:v>
                </c:pt>
                <c:pt idx="2">
                  <c:v>CARPA</c:v>
                </c:pt>
                <c:pt idx="3">
                  <c:v>Cuentas a pagar (Matchpay)</c:v>
                </c:pt>
                <c:pt idx="4">
                  <c:v>Facturación electrónica</c:v>
                </c:pt>
                <c:pt idx="5">
                  <c:v>Ofimática y colaboración</c:v>
                </c:pt>
                <c:pt idx="6">
                  <c:v>Escritorio remoto</c:v>
                </c:pt>
              </c:strCache>
            </c:strRef>
          </c:cat>
          <c:val>
            <c:numRef>
              <c:f>Resumen!$G$26:$G$32</c:f>
              <c:numCache>
                <c:formatCode>#,##0;;\–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Resumen!H25</c:f>
              <c:strCache>
                <c:ptCount val="1"/>
                <c:pt idx="0">
                  <c:v>Sin acceso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Resumen!$B$26:$B$32</c:f>
              <c:strCache>
                <c:ptCount val="7"/>
                <c:pt idx="0">
                  <c:v>SAP E01 / ERP</c:v>
                </c:pt>
                <c:pt idx="1">
                  <c:v>WITRON / CPMS</c:v>
                </c:pt>
                <c:pt idx="2">
                  <c:v>CARPA</c:v>
                </c:pt>
                <c:pt idx="3">
                  <c:v>Cuentas a pagar (Matchpay)</c:v>
                </c:pt>
                <c:pt idx="4">
                  <c:v>Facturación electrónica</c:v>
                </c:pt>
                <c:pt idx="5">
                  <c:v>Ofimática y colaboración</c:v>
                </c:pt>
                <c:pt idx="6">
                  <c:v>Escritorio remoto</c:v>
                </c:pt>
              </c:strCache>
            </c:strRef>
          </c:cat>
          <c:val>
            <c:numRef>
              <c:f>Resumen!$H$26:$H$32</c:f>
              <c:numCache>
                <c:formatCode>#,##0;;\–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Resumen!I25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rgbClr val="94a2b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Resumen!$B$26:$B$32</c:f>
              <c:strCache>
                <c:ptCount val="7"/>
                <c:pt idx="0">
                  <c:v>SAP E01 / ERP</c:v>
                </c:pt>
                <c:pt idx="1">
                  <c:v>WITRON / CPMS</c:v>
                </c:pt>
                <c:pt idx="2">
                  <c:v>CARPA</c:v>
                </c:pt>
                <c:pt idx="3">
                  <c:v>Cuentas a pagar (Matchpay)</c:v>
                </c:pt>
                <c:pt idx="4">
                  <c:v>Facturación electrónica</c:v>
                </c:pt>
                <c:pt idx="5">
                  <c:v>Ofimática y colaboración</c:v>
                </c:pt>
                <c:pt idx="6">
                  <c:v>Escritorio remoto</c:v>
                </c:pt>
              </c:strCache>
            </c:strRef>
          </c:cat>
          <c:val>
            <c:numRef>
              <c:f>Resumen!$I$26:$I$32</c:f>
              <c:numCache>
                <c:formatCode>#,##0;;\–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</c:ser>
        <c:gapWidth val="60"/>
        <c:overlap val="100"/>
        <c:axId val="4973886"/>
        <c:axId val="38603313"/>
      </c:barChart>
      <c:catAx>
        <c:axId val="49738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03313"/>
        <c:crosses val="autoZero"/>
        <c:auto val="1"/>
        <c:lblAlgn val="ctr"/>
        <c:lblOffset val="100"/>
        <c:noMultiLvlLbl val="0"/>
      </c:catAx>
      <c:valAx>
        <c:axId val="38603313"/>
        <c:scaling>
          <c:orientation val="minMax"/>
        </c:scaling>
        <c:delete val="0"/>
        <c:axPos val="l"/>
        <c:numFmt formatCode="#,##0;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38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10</xdr:row>
      <xdr:rowOff>0</xdr:rowOff>
    </xdr:from>
    <xdr:to>
      <xdr:col>17</xdr:col>
      <xdr:colOff>67320</xdr:colOff>
      <xdr:row>22</xdr:row>
      <xdr:rowOff>55800</xdr:rowOff>
    </xdr:to>
    <xdr:graphicFrame>
      <xdr:nvGraphicFramePr>
        <xdr:cNvPr id="0" name="Chart 1"/>
        <xdr:cNvGraphicFramePr/>
      </xdr:nvGraphicFramePr>
      <xdr:xfrm>
        <a:off x="7154640" y="3105000"/>
        <a:ext cx="489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24</xdr:row>
      <xdr:rowOff>0</xdr:rowOff>
    </xdr:from>
    <xdr:to>
      <xdr:col>17</xdr:col>
      <xdr:colOff>67320</xdr:colOff>
      <xdr:row>35</xdr:row>
      <xdr:rowOff>151560</xdr:rowOff>
    </xdr:to>
    <xdr:graphicFrame>
      <xdr:nvGraphicFramePr>
        <xdr:cNvPr id="1" name="Chart 2"/>
        <xdr:cNvGraphicFramePr/>
      </xdr:nvGraphicFramePr>
      <xdr:xfrm>
        <a:off x="7154640" y="6496200"/>
        <a:ext cx="4895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ipstorefront.ipaper.com/" TargetMode="External"/><Relationship Id="rId3" Type="http://schemas.openxmlformats.org/officeDocument/2006/relationships/hyperlink" Target="http://ub99sagep03:8124/auth/login/page" TargetMode="External"/><Relationship Id="rId4" Type="http://schemas.openxmlformats.org/officeDocument/2006/relationships/hyperlink" Target="https://ipapercloud.sharepoint.com/" TargetMode="External"/><Relationship Id="rId5" Type="http://schemas.openxmlformats.org/officeDocument/2006/relationships/hyperlink" Target="https://apps.powerapps.com/" TargetMode="External"/><Relationship Id="rId6" Type="http://schemas.openxmlformats.org/officeDocument/2006/relationships/hyperlink" Target="https://miacceso.e-factura.net/" TargetMode="External"/><Relationship Id="rId7" Type="http://schemas.openxmlformats.org/officeDocument/2006/relationships/hyperlink" Target="https://myaccess.ipaper.com/" TargetMode="External"/><Relationship Id="rId8" Type="http://schemas.openxmlformats.org/officeDocument/2006/relationships/hyperlink" Target="https://ocr.emea.ipaper.com/" TargetMode="External"/><Relationship Id="rId9" Type="http://schemas.openxmlformats.org/officeDocument/2006/relationships/hyperlink" Target="https://ecm.emea.ipaper.com/" TargetMode="External"/><Relationship Id="rId10" Type="http://schemas.openxmlformats.org/officeDocument/2006/relationships/hyperlink" Target="https://ap.xelix.com/login" TargetMode="External"/><Relationship Id="rId11" Type="http://schemas.openxmlformats.org/officeDocument/2006/relationships/hyperlink" Target="https://apupload.ipaper.com/" TargetMode="External"/><Relationship Id="rId12" Type="http://schemas.openxmlformats.org/officeDocument/2006/relationships/hyperlink" Target="https://bi.ipaper.com/BOE/BI/logonNoSso.jsp" TargetMode="External"/><Relationship Id="rId13" Type="http://schemas.openxmlformats.org/officeDocument/2006/relationships/hyperlink" Target="http://s02afnbgp03.na.ipaper.com/P8LoadViewer/" TargetMode="External"/><Relationship Id="rId14" Type="http://schemas.openxmlformats.org/officeDocument/2006/relationships/drawing" Target="../drawings/drawing2.xml"/><Relationship Id="rId1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24F"/>
    <pageSetUpPr fitToPage="true"/>
  </sheetPr>
  <dimension ref="A1:Q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6" min="2" style="0" width="11"/>
    <col collapsed="false" customWidth="true" hidden="false" outlineLevel="0" max="17" min="17" style="0" width="2.5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9.75" hidden="false" customHeight="true" outlineLevel="0" collapsed="false"/>
    <row r="4" customFormat="false" ht="39.75" hidden="false" customHeight="true" outlineLevel="0" collapsed="false">
      <c r="B4" s="3" t="n">
        <f aca="false">COUNTA(Seguimiento!$B$7:$B$33)</f>
        <v>17</v>
      </c>
      <c r="C4" s="3"/>
      <c r="D4" s="3"/>
      <c r="F4" s="4" t="n">
        <f aca="false">COUNTIF(Seguimiento!$F$7:$F$33,"Probado")</f>
        <v>14</v>
      </c>
      <c r="G4" s="4"/>
      <c r="H4" s="4"/>
      <c r="J4" s="5" t="n">
        <f aca="false">COUNTA(Seguimiento!$B$7:$B$33)-COUNTIF(Seguimiento!$F$7:$F$33,"Probado")-COUNTIF(Seguimiento!$F$7:$F$33,"No aplica")</f>
        <v>3</v>
      </c>
      <c r="K4" s="5"/>
      <c r="L4" s="5"/>
      <c r="N4" s="6" t="n">
        <f aca="false">IFERROR(COUNTIF(Seguimiento!$F$7:$F$33,"Probado")/MAX(1,COUNTA(Seguimiento!$B$7:$B$33)-COUNTIF(Seguimiento!$F$7:$F$33,"No aplica")),0)</f>
        <v>0.823529411764706</v>
      </c>
      <c r="O4" s="6"/>
      <c r="P4" s="6"/>
    </row>
    <row r="5" customFormat="false" ht="24" hidden="false" customHeight="true" outlineLevel="0" collapsed="false">
      <c r="B5" s="7" t="s">
        <v>2</v>
      </c>
      <c r="C5" s="7"/>
      <c r="D5" s="7"/>
      <c r="F5" s="7" t="s">
        <v>3</v>
      </c>
      <c r="G5" s="7"/>
      <c r="H5" s="7"/>
      <c r="J5" s="7" t="s">
        <v>4</v>
      </c>
      <c r="K5" s="7"/>
      <c r="L5" s="7"/>
      <c r="N5" s="7" t="s">
        <v>5</v>
      </c>
      <c r="O5" s="7"/>
      <c r="P5" s="7"/>
    </row>
    <row r="6" customFormat="false" ht="7.5" hidden="false" customHeight="true" outlineLevel="0" collapsed="false"/>
    <row r="7" customFormat="false" ht="39.75" hidden="false" customHeight="true" outlineLevel="0" collapsed="false">
      <c r="B7" s="4" t="n">
        <f aca="false">COUNTIF(Seguimiento!$I$7:$I$33,"Acceso total (WiFi + Cable)")</f>
        <v>6</v>
      </c>
      <c r="C7" s="4"/>
      <c r="D7" s="4"/>
      <c r="F7" s="5" t="n">
        <f aca="false">COUNTIF(Seguimiento!$I$7:$I$33,"Solo WiFi")+COUNTIF(Seguimiento!$I$7:$I$33,"Solo cable Ethernet")</f>
        <v>1</v>
      </c>
      <c r="G7" s="5"/>
      <c r="H7" s="5"/>
      <c r="J7" s="8" t="n">
        <f aca="false">COUNTIF(Seguimiento!$I$7:$I$33,"Sin acceso")</f>
        <v>7</v>
      </c>
      <c r="K7" s="8"/>
      <c r="L7" s="8"/>
      <c r="N7" s="8" t="n">
        <f aca="false">COUNTIFS(Seguimiento!$J$7:$J$33,"Crítica",Seguimiento!$I$7:$I$33,"&lt;&gt;Acceso total (WiFi + Cable)",Seguimiento!$B$7:$B$33,"&lt;&gt;")</f>
        <v>2</v>
      </c>
      <c r="O7" s="8"/>
      <c r="P7" s="8"/>
    </row>
    <row r="8" customFormat="false" ht="24" hidden="false" customHeight="true" outlineLevel="0" collapsed="false">
      <c r="B8" s="7" t="s">
        <v>6</v>
      </c>
      <c r="C8" s="7"/>
      <c r="D8" s="7"/>
      <c r="F8" s="7" t="s">
        <v>7</v>
      </c>
      <c r="G8" s="7"/>
      <c r="H8" s="7"/>
      <c r="J8" s="7" t="s">
        <v>8</v>
      </c>
      <c r="K8" s="7"/>
      <c r="L8" s="7"/>
      <c r="N8" s="7" t="s">
        <v>9</v>
      </c>
      <c r="O8" s="7"/>
      <c r="P8" s="7"/>
    </row>
    <row r="9" customFormat="false" ht="12" hidden="false" customHeight="true" outlineLevel="0" collapsed="false"/>
    <row r="10" customFormat="false" ht="24" hidden="false" customHeight="true" outlineLevel="0" collapsed="false">
      <c r="B10" s="9" t="s">
        <v>10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customFormat="false" ht="31.5" hidden="false" customHeight="true" outlineLevel="0" collapsed="false">
      <c r="B11" s="10" t="s">
        <v>11</v>
      </c>
      <c r="C11" s="10"/>
      <c r="D11" s="10"/>
      <c r="E11" s="11" t="s">
        <v>12</v>
      </c>
      <c r="F11" s="11" t="s">
        <v>13</v>
      </c>
    </row>
    <row r="12" customFormat="false" ht="19.5" hidden="false" customHeight="true" outlineLevel="0" collapsed="false">
      <c r="B12" s="12" t="s">
        <v>14</v>
      </c>
      <c r="C12" s="12"/>
      <c r="D12" s="12"/>
      <c r="E12" s="13" t="n">
        <f aca="false">COUNTIF(Seguimiento!$I$7:$I$33,$B12)</f>
        <v>6</v>
      </c>
      <c r="F12" s="14" t="n">
        <f aca="false">IFERROR($E12/$E$18,0)</f>
        <v>0.352941176470588</v>
      </c>
    </row>
    <row r="13" customFormat="false" ht="19.5" hidden="false" customHeight="true" outlineLevel="0" collapsed="false">
      <c r="B13" s="15" t="s">
        <v>15</v>
      </c>
      <c r="C13" s="15"/>
      <c r="D13" s="15"/>
      <c r="E13" s="13" t="n">
        <f aca="false">COUNTIF(Seguimiento!$I$7:$I$33,$B13)</f>
        <v>1</v>
      </c>
      <c r="F13" s="14" t="n">
        <f aca="false">IFERROR($E13/$E$18,0)</f>
        <v>0.0588235294117647</v>
      </c>
    </row>
    <row r="14" customFormat="false" ht="19.5" hidden="false" customHeight="true" outlineLevel="0" collapsed="false">
      <c r="B14" s="15" t="s">
        <v>16</v>
      </c>
      <c r="C14" s="15"/>
      <c r="D14" s="15"/>
      <c r="E14" s="13" t="n">
        <f aca="false">COUNTIF(Seguimiento!$I$7:$I$33,$B14)</f>
        <v>0</v>
      </c>
      <c r="F14" s="14" t="n">
        <f aca="false">IFERROR($E14/$E$18,0)</f>
        <v>0</v>
      </c>
    </row>
    <row r="15" customFormat="false" ht="19.5" hidden="false" customHeight="true" outlineLevel="0" collapsed="false">
      <c r="B15" s="16" t="s">
        <v>17</v>
      </c>
      <c r="C15" s="16"/>
      <c r="D15" s="16"/>
      <c r="E15" s="13" t="n">
        <f aca="false">COUNTIF(Seguimiento!$I$7:$I$33,$B15)</f>
        <v>7</v>
      </c>
      <c r="F15" s="14" t="n">
        <f aca="false">IFERROR($E15/$E$18,0)</f>
        <v>0.411764705882353</v>
      </c>
    </row>
    <row r="16" customFormat="false" ht="19.5" hidden="false" customHeight="true" outlineLevel="0" collapsed="false">
      <c r="B16" s="17" t="s">
        <v>18</v>
      </c>
      <c r="C16" s="17"/>
      <c r="D16" s="17"/>
      <c r="E16" s="13" t="n">
        <f aca="false">COUNTIF(Seguimiento!$I$7:$I$33,$B16)</f>
        <v>3</v>
      </c>
      <c r="F16" s="14" t="n">
        <f aca="false">IFERROR($E16/$E$18,0)</f>
        <v>0.176470588235294</v>
      </c>
    </row>
    <row r="17" customFormat="false" ht="19.5" hidden="false" customHeight="true" outlineLevel="0" collapsed="false">
      <c r="B17" s="17" t="s">
        <v>19</v>
      </c>
      <c r="C17" s="17"/>
      <c r="D17" s="17"/>
      <c r="E17" s="13" t="n">
        <f aca="false">COUNTIF(Seguimiento!$I$7:$I$33,$B17)</f>
        <v>0</v>
      </c>
      <c r="F17" s="14" t="n">
        <f aca="false">IFERROR($E17/$E$18,0)</f>
        <v>0</v>
      </c>
    </row>
    <row r="18" customFormat="false" ht="19.5" hidden="false" customHeight="true" outlineLevel="0" collapsed="false">
      <c r="B18" s="18" t="s">
        <v>20</v>
      </c>
      <c r="C18" s="18"/>
      <c r="D18" s="18"/>
      <c r="E18" s="19" t="n">
        <f aca="false">SUM(E12:E17)</f>
        <v>17</v>
      </c>
      <c r="F18" s="20" t="n">
        <f aca="false">IFERROR($E18/$E18,0)</f>
        <v>1</v>
      </c>
    </row>
    <row r="24" customFormat="false" ht="24" hidden="false" customHeight="true" outlineLevel="0" collapsed="false">
      <c r="B24" s="9" t="s">
        <v>21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customFormat="false" ht="31.5" hidden="false" customHeight="true" outlineLevel="0" collapsed="false">
      <c r="B25" s="10" t="s">
        <v>22</v>
      </c>
      <c r="C25" s="10"/>
      <c r="D25" s="10"/>
      <c r="E25" s="11" t="s">
        <v>12</v>
      </c>
      <c r="F25" s="11" t="s">
        <v>23</v>
      </c>
      <c r="G25" s="11" t="s">
        <v>24</v>
      </c>
      <c r="H25" s="11" t="s">
        <v>17</v>
      </c>
      <c r="I25" s="11" t="s">
        <v>18</v>
      </c>
    </row>
    <row r="26" customFormat="false" ht="19.5" hidden="false" customHeight="true" outlineLevel="0" collapsed="false">
      <c r="B26" s="21" t="s">
        <v>25</v>
      </c>
      <c r="C26" s="21"/>
      <c r="D26" s="21"/>
      <c r="E26" s="22" t="n">
        <f aca="false">COUNTIF(Seguimiento!$C$7:$C$33,$B26)</f>
        <v>1</v>
      </c>
      <c r="F26" s="23" t="n">
        <f aca="false">COUNTIFS(Seguimiento!$C$7:$C$33,$B26,Seguimiento!$I$7:$I$33,"Acceso total (WiFi + Cable)")</f>
        <v>0</v>
      </c>
      <c r="G26" s="23" t="n">
        <f aca="false">COUNTIFS(Seguimiento!$C$7:$C$33,$B26,Seguimiento!$I$7:$I$33,"Solo WiFi")+COUNTIFS(Seguimiento!$C$7:$C$33,$B26,Seguimiento!$I$7:$I$33,"Solo cable Ethernet")</f>
        <v>0</v>
      </c>
      <c r="H26" s="23" t="n">
        <f aca="false">COUNTIFS(Seguimiento!$C$7:$C$33,$B26,Seguimiento!$I$7:$I$33,"Sin acceso")</f>
        <v>0</v>
      </c>
      <c r="I26" s="23" t="n">
        <f aca="false">COUNTIFS(Seguimiento!$C$7:$C$33,$B26,Seguimiento!$I$7:$I$33,"Pendiente")</f>
        <v>1</v>
      </c>
    </row>
    <row r="27" customFormat="false" ht="19.5" hidden="false" customHeight="true" outlineLevel="0" collapsed="false">
      <c r="B27" s="24" t="s">
        <v>26</v>
      </c>
      <c r="C27" s="24"/>
      <c r="D27" s="24"/>
      <c r="E27" s="25" t="n">
        <f aca="false">COUNTIF(Seguimiento!$C$7:$C$33,$B27)</f>
        <v>1</v>
      </c>
      <c r="F27" s="26" t="n">
        <f aca="false">COUNTIFS(Seguimiento!$C$7:$C$33,$B27,Seguimiento!$I$7:$I$33,"Acceso total (WiFi + Cable)")</f>
        <v>0</v>
      </c>
      <c r="G27" s="26" t="n">
        <f aca="false">COUNTIFS(Seguimiento!$C$7:$C$33,$B27,Seguimiento!$I$7:$I$33,"Solo WiFi")+COUNTIFS(Seguimiento!$C$7:$C$33,$B27,Seguimiento!$I$7:$I$33,"Solo cable Ethernet")</f>
        <v>1</v>
      </c>
      <c r="H27" s="26" t="n">
        <f aca="false">COUNTIFS(Seguimiento!$C$7:$C$33,$B27,Seguimiento!$I$7:$I$33,"Sin acceso")</f>
        <v>0</v>
      </c>
      <c r="I27" s="26" t="n">
        <f aca="false">COUNTIFS(Seguimiento!$C$7:$C$33,$B27,Seguimiento!$I$7:$I$33,"Pendiente")</f>
        <v>0</v>
      </c>
    </row>
    <row r="28" customFormat="false" ht="19.5" hidden="false" customHeight="true" outlineLevel="0" collapsed="false">
      <c r="B28" s="21" t="s">
        <v>27</v>
      </c>
      <c r="C28" s="21"/>
      <c r="D28" s="21"/>
      <c r="E28" s="22" t="n">
        <f aca="false">COUNTIF(Seguimiento!$C$7:$C$33,$B28)</f>
        <v>2</v>
      </c>
      <c r="F28" s="23" t="n">
        <f aca="false">COUNTIFS(Seguimiento!$C$7:$C$33,$B28,Seguimiento!$I$7:$I$33,"Acceso total (WiFi + Cable)")</f>
        <v>0</v>
      </c>
      <c r="G28" s="23" t="n">
        <f aca="false">COUNTIFS(Seguimiento!$C$7:$C$33,$B28,Seguimiento!$I$7:$I$33,"Solo WiFi")+COUNTIFS(Seguimiento!$C$7:$C$33,$B28,Seguimiento!$I$7:$I$33,"Solo cable Ethernet")</f>
        <v>0</v>
      </c>
      <c r="H28" s="23" t="n">
        <f aca="false">COUNTIFS(Seguimiento!$C$7:$C$33,$B28,Seguimiento!$I$7:$I$33,"Sin acceso")</f>
        <v>2</v>
      </c>
      <c r="I28" s="23" t="n">
        <f aca="false">COUNTIFS(Seguimiento!$C$7:$C$33,$B28,Seguimiento!$I$7:$I$33,"Pendiente")</f>
        <v>0</v>
      </c>
    </row>
    <row r="29" customFormat="false" ht="19.5" hidden="false" customHeight="true" outlineLevel="0" collapsed="false">
      <c r="B29" s="24" t="s">
        <v>28</v>
      </c>
      <c r="C29" s="24"/>
      <c r="D29" s="24"/>
      <c r="E29" s="25" t="n">
        <f aca="false">COUNTIF(Seguimiento!$C$7:$C$33,$B29)</f>
        <v>7</v>
      </c>
      <c r="F29" s="26" t="n">
        <f aca="false">COUNTIFS(Seguimiento!$C$7:$C$33,$B29,Seguimiento!$I$7:$I$33,"Acceso total (WiFi + Cable)")</f>
        <v>2</v>
      </c>
      <c r="G29" s="26" t="n">
        <f aca="false">COUNTIFS(Seguimiento!$C$7:$C$33,$B29,Seguimiento!$I$7:$I$33,"Solo WiFi")+COUNTIFS(Seguimiento!$C$7:$C$33,$B29,Seguimiento!$I$7:$I$33,"Solo cable Ethernet")</f>
        <v>0</v>
      </c>
      <c r="H29" s="26" t="n">
        <f aca="false">COUNTIFS(Seguimiento!$C$7:$C$33,$B29,Seguimiento!$I$7:$I$33,"Sin acceso")</f>
        <v>5</v>
      </c>
      <c r="I29" s="26" t="n">
        <f aca="false">COUNTIFS(Seguimiento!$C$7:$C$33,$B29,Seguimiento!$I$7:$I$33,"Pendiente")</f>
        <v>0</v>
      </c>
    </row>
    <row r="30" customFormat="false" ht="19.5" hidden="false" customHeight="true" outlineLevel="0" collapsed="false">
      <c r="B30" s="21" t="s">
        <v>29</v>
      </c>
      <c r="C30" s="21"/>
      <c r="D30" s="21"/>
      <c r="E30" s="22" t="n">
        <f aca="false">COUNTIF(Seguimiento!$C$7:$C$33,$B30)</f>
        <v>2</v>
      </c>
      <c r="F30" s="23" t="n">
        <f aca="false">COUNTIFS(Seguimiento!$C$7:$C$33,$B30,Seguimiento!$I$7:$I$33,"Acceso total (WiFi + Cable)")</f>
        <v>1</v>
      </c>
      <c r="G30" s="23" t="n">
        <f aca="false">COUNTIFS(Seguimiento!$C$7:$C$33,$B30,Seguimiento!$I$7:$I$33,"Solo WiFi")+COUNTIFS(Seguimiento!$C$7:$C$33,$B30,Seguimiento!$I$7:$I$33,"Solo cable Ethernet")</f>
        <v>0</v>
      </c>
      <c r="H30" s="23" t="n">
        <f aca="false">COUNTIFS(Seguimiento!$C$7:$C$33,$B30,Seguimiento!$I$7:$I$33,"Sin acceso")</f>
        <v>0</v>
      </c>
      <c r="I30" s="23" t="n">
        <f aca="false">COUNTIFS(Seguimiento!$C$7:$C$33,$B30,Seguimiento!$I$7:$I$33,"Pendiente")</f>
        <v>1</v>
      </c>
    </row>
    <row r="31" customFormat="false" ht="19.5" hidden="false" customHeight="true" outlineLevel="0" collapsed="false">
      <c r="B31" s="24" t="s">
        <v>30</v>
      </c>
      <c r="C31" s="24"/>
      <c r="D31" s="24"/>
      <c r="E31" s="25" t="n">
        <f aca="false">COUNTIF(Seguimiento!$C$7:$C$33,$B31)</f>
        <v>3</v>
      </c>
      <c r="F31" s="26" t="n">
        <f aca="false">COUNTIFS(Seguimiento!$C$7:$C$33,$B31,Seguimiento!$I$7:$I$33,"Acceso total (WiFi + Cable)")</f>
        <v>3</v>
      </c>
      <c r="G31" s="26" t="n">
        <f aca="false">COUNTIFS(Seguimiento!$C$7:$C$33,$B31,Seguimiento!$I$7:$I$33,"Solo WiFi")+COUNTIFS(Seguimiento!$C$7:$C$33,$B31,Seguimiento!$I$7:$I$33,"Solo cable Ethernet")</f>
        <v>0</v>
      </c>
      <c r="H31" s="26" t="n">
        <f aca="false">COUNTIFS(Seguimiento!$C$7:$C$33,$B31,Seguimiento!$I$7:$I$33,"Sin acceso")</f>
        <v>0</v>
      </c>
      <c r="I31" s="26" t="n">
        <f aca="false">COUNTIFS(Seguimiento!$C$7:$C$33,$B31,Seguimiento!$I$7:$I$33,"Pendiente")</f>
        <v>0</v>
      </c>
    </row>
    <row r="32" customFormat="false" ht="19.5" hidden="false" customHeight="true" outlineLevel="0" collapsed="false">
      <c r="B32" s="21" t="s">
        <v>31</v>
      </c>
      <c r="C32" s="21"/>
      <c r="D32" s="21"/>
      <c r="E32" s="22" t="n">
        <f aca="false">COUNTIF(Seguimiento!$C$7:$C$33,$B32)</f>
        <v>1</v>
      </c>
      <c r="F32" s="23" t="n">
        <f aca="false">COUNTIFS(Seguimiento!$C$7:$C$33,$B32,Seguimiento!$I$7:$I$33,"Acceso total (WiFi + Cable)")</f>
        <v>0</v>
      </c>
      <c r="G32" s="23" t="n">
        <f aca="false">COUNTIFS(Seguimiento!$C$7:$C$33,$B32,Seguimiento!$I$7:$I$33,"Solo WiFi")+COUNTIFS(Seguimiento!$C$7:$C$33,$B32,Seguimiento!$I$7:$I$33,"Solo cable Ethernet")</f>
        <v>0</v>
      </c>
      <c r="H32" s="23" t="n">
        <f aca="false">COUNTIFS(Seguimiento!$C$7:$C$33,$B32,Seguimiento!$I$7:$I$33,"Sin acceso")</f>
        <v>0</v>
      </c>
      <c r="I32" s="23" t="n">
        <f aca="false">COUNTIFS(Seguimiento!$C$7:$C$33,$B32,Seguimiento!$I$7:$I$33,"Pendiente")</f>
        <v>1</v>
      </c>
    </row>
    <row r="33" customFormat="false" ht="19.5" hidden="false" customHeight="true" outlineLevel="0" collapsed="false">
      <c r="B33" s="18" t="s">
        <v>20</v>
      </c>
      <c r="C33" s="18"/>
      <c r="D33" s="18"/>
      <c r="E33" s="19" t="n">
        <f aca="false">SUM(E26:E32)</f>
        <v>17</v>
      </c>
      <c r="F33" s="19" t="n">
        <f aca="false">SUM(F26:F32)</f>
        <v>6</v>
      </c>
      <c r="G33" s="19" t="n">
        <f aca="false">SUM(G26:G32)</f>
        <v>1</v>
      </c>
      <c r="H33" s="19" t="n">
        <f aca="false">SUM(H26:H32)</f>
        <v>7</v>
      </c>
      <c r="I33" s="19" t="n">
        <f aca="false">SUM(I26:I32)</f>
        <v>3</v>
      </c>
    </row>
    <row r="34" customFormat="false" ht="18" hidden="false" customHeight="true" outlineLevel="0" collapsed="false">
      <c r="B34" s="27" t="str">
        <f aca="false">IF($E$33=COUNTA(Seguimiento!$B$7:$B$33),"Todas las áreas cuadran con la hoja Seguimiento.","Atención: hay sistemas cuya Área funcional no coincide con ninguna fila de esta tabla. Añada el área que falte para que el total vuelva a cuadrar.")</f>
        <v>Todas las áreas cuadran con la hoja Seguimiento.</v>
      </c>
      <c r="C34" s="27"/>
      <c r="D34" s="27"/>
      <c r="E34" s="27"/>
      <c r="F34" s="27"/>
      <c r="G34" s="27"/>
      <c r="H34" s="27"/>
      <c r="I34" s="27"/>
    </row>
    <row r="38" customFormat="false" ht="24" hidden="false" customHeight="true" outlineLevel="0" collapsed="false">
      <c r="B38" s="9" t="s">
        <v>32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customFormat="false" ht="31.5" hidden="false" customHeight="true" outlineLevel="0" collapsed="false">
      <c r="B39" s="10" t="s">
        <v>33</v>
      </c>
      <c r="C39" s="10"/>
      <c r="D39" s="10"/>
      <c r="E39" s="11" t="s">
        <v>12</v>
      </c>
      <c r="F39" s="10" t="s">
        <v>34</v>
      </c>
      <c r="G39" s="10"/>
      <c r="H39" s="10"/>
      <c r="I39" s="10"/>
    </row>
    <row r="40" customFormat="false" ht="19.5" hidden="false" customHeight="true" outlineLevel="0" collapsed="false">
      <c r="B40" s="21" t="s">
        <v>35</v>
      </c>
      <c r="C40" s="21"/>
      <c r="D40" s="21"/>
      <c r="E40" s="22" t="n">
        <f aca="false">COUNTIF(Seguimiento!$M$7:$M$33,$B40)</f>
        <v>6</v>
      </c>
      <c r="F40" s="28" t="n">
        <f aca="false">COUNTIFS(Seguimiento!$M$7:$M$33,$B40,Seguimiento!$J$7:$J$33,"Crítica")+COUNTIFS(Seguimiento!$M$7:$M$33,$B40,Seguimiento!$J$7:$J$33,"Alta")</f>
        <v>3</v>
      </c>
      <c r="G40" s="28"/>
      <c r="H40" s="28"/>
      <c r="I40" s="28"/>
    </row>
    <row r="41" customFormat="false" ht="19.5" hidden="false" customHeight="true" outlineLevel="0" collapsed="false">
      <c r="B41" s="24" t="s">
        <v>36</v>
      </c>
      <c r="C41" s="24"/>
      <c r="D41" s="24"/>
      <c r="E41" s="25" t="n">
        <f aca="false">COUNTIF(Seguimiento!$M$7:$M$33,$B41)</f>
        <v>1</v>
      </c>
      <c r="F41" s="29" t="n">
        <f aca="false">COUNTIFS(Seguimiento!$M$7:$M$33,$B41,Seguimiento!$J$7:$J$33,"Crítica")+COUNTIFS(Seguimiento!$M$7:$M$33,$B41,Seguimiento!$J$7:$J$33,"Alta")</f>
        <v>1</v>
      </c>
      <c r="G41" s="29"/>
      <c r="H41" s="29"/>
      <c r="I41" s="29"/>
    </row>
    <row r="42" customFormat="false" ht="19.5" hidden="false" customHeight="true" outlineLevel="0" collapsed="false">
      <c r="B42" s="21" t="s">
        <v>37</v>
      </c>
      <c r="C42" s="21"/>
      <c r="D42" s="21"/>
      <c r="E42" s="22" t="n">
        <f aca="false">COUNTIF(Seguimiento!$M$7:$M$33,$B42)</f>
        <v>2</v>
      </c>
      <c r="F42" s="28" t="n">
        <f aca="false">COUNTIFS(Seguimiento!$M$7:$M$33,$B42,Seguimiento!$J$7:$J$33,"Crítica")+COUNTIFS(Seguimiento!$M$7:$M$33,$B42,Seguimiento!$J$7:$J$33,"Alta")</f>
        <v>2</v>
      </c>
      <c r="G42" s="28"/>
      <c r="H42" s="28"/>
      <c r="I42" s="28"/>
    </row>
    <row r="43" customFormat="false" ht="19.5" hidden="false" customHeight="true" outlineLevel="0" collapsed="false">
      <c r="B43" s="24" t="s">
        <v>38</v>
      </c>
      <c r="C43" s="24"/>
      <c r="D43" s="24"/>
      <c r="E43" s="25" t="n">
        <f aca="false">COUNTIF(Seguimiento!$M$7:$M$33,$B43)</f>
        <v>7</v>
      </c>
      <c r="F43" s="29" t="n">
        <f aca="false">COUNTIFS(Seguimiento!$M$7:$M$33,$B43,Seguimiento!$J$7:$J$33,"Crítica")+COUNTIFS(Seguimiento!$M$7:$M$33,$B43,Seguimiento!$J$7:$J$33,"Alta")</f>
        <v>5</v>
      </c>
      <c r="G43" s="29"/>
      <c r="H43" s="29"/>
      <c r="I43" s="29"/>
    </row>
    <row r="44" customFormat="false" ht="19.5" hidden="false" customHeight="true" outlineLevel="0" collapsed="false">
      <c r="B44" s="21" t="s">
        <v>39</v>
      </c>
      <c r="C44" s="21"/>
      <c r="D44" s="21"/>
      <c r="E44" s="22" t="n">
        <f aca="false">COUNTIF(Seguimiento!$M$7:$M$33,$B44)</f>
        <v>1</v>
      </c>
      <c r="F44" s="28" t="n">
        <f aca="false">COUNTIFS(Seguimiento!$M$7:$M$33,$B44,Seguimiento!$J$7:$J$33,"Crítica")+COUNTIFS(Seguimiento!$M$7:$M$33,$B44,Seguimiento!$J$7:$J$33,"Alta")</f>
        <v>1</v>
      </c>
      <c r="G44" s="28"/>
      <c r="H44" s="28"/>
      <c r="I44" s="28"/>
    </row>
    <row r="45" customFormat="false" ht="19.5" hidden="false" customHeight="true" outlineLevel="0" collapsed="false">
      <c r="B45" s="24" t="s">
        <v>40</v>
      </c>
      <c r="C45" s="24"/>
      <c r="D45" s="24"/>
      <c r="E45" s="25" t="n">
        <f aca="false">COUNTIF(Seguimiento!$M$7:$M$33,$B45)</f>
        <v>0</v>
      </c>
      <c r="F45" s="29" t="n">
        <f aca="false">COUNTIFS(Seguimiento!$M$7:$M$33,$B45,Seguimiento!$J$7:$J$33,"Crítica")+COUNTIFS(Seguimiento!$M$7:$M$33,$B45,Seguimiento!$J$7:$J$33,"Alta")</f>
        <v>0</v>
      </c>
      <c r="G45" s="29"/>
      <c r="H45" s="29"/>
      <c r="I45" s="29"/>
    </row>
    <row r="46" customFormat="false" ht="19.5" hidden="false" customHeight="true" outlineLevel="0" collapsed="false">
      <c r="B46" s="21" t="s">
        <v>41</v>
      </c>
      <c r="C46" s="21"/>
      <c r="D46" s="21"/>
      <c r="E46" s="22" t="n">
        <f aca="false">COUNTIF(Seguimiento!$M$7:$M$33,$B46)</f>
        <v>0</v>
      </c>
      <c r="F46" s="28" t="n">
        <f aca="false">COUNTIFS(Seguimiento!$M$7:$M$33,$B46,Seguimiento!$J$7:$J$33,"Crítica")+COUNTIFS(Seguimiento!$M$7:$M$33,$B46,Seguimiento!$J$7:$J$33,"Alta")</f>
        <v>0</v>
      </c>
      <c r="G46" s="28"/>
      <c r="H46" s="28"/>
      <c r="I46" s="28"/>
    </row>
    <row r="47" customFormat="false" ht="19.5" hidden="false" customHeight="true" outlineLevel="0" collapsed="false">
      <c r="B47" s="24" t="s">
        <v>42</v>
      </c>
      <c r="C47" s="24"/>
      <c r="D47" s="24"/>
      <c r="E47" s="25" t="n">
        <f aca="false">COUNTIF(Seguimiento!$M$7:$M$33,$B47)</f>
        <v>0</v>
      </c>
      <c r="F47" s="29" t="n">
        <f aca="false">COUNTIFS(Seguimiento!$M$7:$M$33,$B47,Seguimiento!$J$7:$J$33,"Crítica")+COUNTIFS(Seguimiento!$M$7:$M$33,$B47,Seguimiento!$J$7:$J$33,"Alta")</f>
        <v>0</v>
      </c>
      <c r="G47" s="29"/>
      <c r="H47" s="29"/>
      <c r="I47" s="29"/>
    </row>
    <row r="48" customFormat="false" ht="19.5" hidden="false" customHeight="true" outlineLevel="0" collapsed="false">
      <c r="B48" s="18" t="s">
        <v>20</v>
      </c>
      <c r="C48" s="18"/>
      <c r="D48" s="18"/>
      <c r="E48" s="19" t="n">
        <f aca="false">SUM(E40:E47)</f>
        <v>17</v>
      </c>
      <c r="F48" s="19" t="n">
        <f aca="false">SUM(F40:F47)</f>
        <v>12</v>
      </c>
      <c r="G48" s="19"/>
      <c r="H48" s="19"/>
      <c r="I48" s="19"/>
    </row>
    <row r="50" customFormat="false" ht="21.75" hidden="false" customHeight="true" outlineLevel="0" collapsed="false">
      <c r="B50" s="30" t="s">
        <v>43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customFormat="false" ht="21.75" hidden="false" customHeight="true" outlineLevel="0" collapsed="false">
      <c r="B51" s="30" t="s">
        <v>44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customFormat="false" ht="21.75" hidden="false" customHeight="true" outlineLevel="0" collapsed="false">
      <c r="B52" s="30" t="s">
        <v>45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</sheetData>
  <mergeCells count="62">
    <mergeCell ref="A1:Q1"/>
    <mergeCell ref="A2:Q2"/>
    <mergeCell ref="B4:D4"/>
    <mergeCell ref="F4:H4"/>
    <mergeCell ref="J4:L4"/>
    <mergeCell ref="N4:P4"/>
    <mergeCell ref="B5:D5"/>
    <mergeCell ref="F5:H5"/>
    <mergeCell ref="J5:L5"/>
    <mergeCell ref="N5:P5"/>
    <mergeCell ref="B7:D7"/>
    <mergeCell ref="F7:H7"/>
    <mergeCell ref="J7:L7"/>
    <mergeCell ref="N7:P7"/>
    <mergeCell ref="B8:D8"/>
    <mergeCell ref="F8:H8"/>
    <mergeCell ref="J8:L8"/>
    <mergeCell ref="N8:P8"/>
    <mergeCell ref="B10:Q10"/>
    <mergeCell ref="B11:D11"/>
    <mergeCell ref="B12:D12"/>
    <mergeCell ref="B13:D13"/>
    <mergeCell ref="B14:D14"/>
    <mergeCell ref="B15:D15"/>
    <mergeCell ref="B16:D16"/>
    <mergeCell ref="B17:D17"/>
    <mergeCell ref="B18:D18"/>
    <mergeCell ref="B24:Q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I34"/>
    <mergeCell ref="B38:Q38"/>
    <mergeCell ref="B39:D39"/>
    <mergeCell ref="F39:I39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F45:I45"/>
    <mergeCell ref="B46:D46"/>
    <mergeCell ref="F46:I46"/>
    <mergeCell ref="B47:D47"/>
    <mergeCell ref="F47:I47"/>
    <mergeCell ref="B48:D48"/>
    <mergeCell ref="F48:I48"/>
    <mergeCell ref="B50:Q50"/>
    <mergeCell ref="B51:Q51"/>
    <mergeCell ref="B52:Q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9B2B"/>
    <pageSetUpPr fitToPage="true"/>
  </sheetPr>
  <dimension ref="A1:N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19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22"/>
    <col collapsed="false" customWidth="true" hidden="false" outlineLevel="0" max="14" min="14" style="0" width="62"/>
  </cols>
  <sheetData>
    <row r="1" customFormat="false" ht="42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1" t="s">
        <v>48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customFormat="false" ht="19.5" hidden="false" customHeight="true" outlineLevel="0" collapsed="false">
      <c r="A4" s="32" t="s">
        <v>49</v>
      </c>
      <c r="B4" s="32"/>
      <c r="C4" s="33" t="s">
        <v>50</v>
      </c>
      <c r="D4" s="33"/>
      <c r="E4" s="34" t="s">
        <v>51</v>
      </c>
      <c r="F4" s="34"/>
      <c r="G4" s="35" t="s">
        <v>52</v>
      </c>
      <c r="H4" s="35"/>
      <c r="I4" s="36" t="s">
        <v>53</v>
      </c>
      <c r="J4" s="36"/>
      <c r="K4" s="37" t="s">
        <v>54</v>
      </c>
      <c r="L4" s="37"/>
      <c r="M4" s="37"/>
      <c r="N4" s="37"/>
    </row>
    <row r="5" customFormat="false" ht="6.75" hidden="false" customHeight="true" outlineLevel="0" collapsed="false"/>
    <row r="6" customFormat="false" ht="33.75" hidden="false" customHeight="true" outlineLevel="0" collapsed="false">
      <c r="A6" s="38" t="s">
        <v>55</v>
      </c>
      <c r="B6" s="38" t="s">
        <v>56</v>
      </c>
      <c r="C6" s="38" t="s">
        <v>22</v>
      </c>
      <c r="D6" s="38" t="s">
        <v>57</v>
      </c>
      <c r="E6" s="38" t="s">
        <v>58</v>
      </c>
      <c r="F6" s="38" t="s">
        <v>59</v>
      </c>
      <c r="G6" s="38" t="s">
        <v>60</v>
      </c>
      <c r="H6" s="38" t="s">
        <v>61</v>
      </c>
      <c r="I6" s="38" t="s">
        <v>11</v>
      </c>
      <c r="J6" s="38" t="s">
        <v>62</v>
      </c>
      <c r="K6" s="38" t="s">
        <v>63</v>
      </c>
      <c r="L6" s="38" t="s">
        <v>64</v>
      </c>
      <c r="M6" s="38" t="s">
        <v>33</v>
      </c>
      <c r="N6" s="38" t="s">
        <v>65</v>
      </c>
    </row>
    <row r="7" customFormat="false" ht="30" hidden="false" customHeight="true" outlineLevel="0" collapsed="false">
      <c r="A7" s="39" t="n">
        <v>1</v>
      </c>
      <c r="B7" s="40" t="s">
        <v>66</v>
      </c>
      <c r="C7" s="41" t="s">
        <v>25</v>
      </c>
      <c r="D7" s="41" t="s">
        <v>67</v>
      </c>
      <c r="E7" s="42" t="s">
        <v>68</v>
      </c>
      <c r="F7" s="43" t="s">
        <v>69</v>
      </c>
      <c r="G7" s="43" t="s">
        <v>70</v>
      </c>
      <c r="H7" s="43" t="s">
        <v>70</v>
      </c>
      <c r="I7" s="44" t="str">
        <f aca="false">IF($B7="","",IF($F7="No aplica","No aplica",IF(AND($G7="OK",$H7="OK"),"Acceso total (WiFi + Cable)",IF(AND($G7="OK",$H7&lt;&gt;"OK"),"Solo WiFi",IF(AND($H7="OK",$G7&lt;&gt;"OK"),"Solo cable Ethernet",IF(AND($G7="KO",$H7="KO"),"Sin acceso","Pendiente"))))))</f>
        <v>Pendiente</v>
      </c>
      <c r="J7" s="43" t="s">
        <v>71</v>
      </c>
      <c r="K7" s="45"/>
      <c r="L7" s="46"/>
      <c r="M7" s="43" t="s">
        <v>36</v>
      </c>
      <c r="N7" s="47" t="s">
        <v>72</v>
      </c>
    </row>
    <row r="8" customFormat="false" ht="30" hidden="false" customHeight="true" outlineLevel="0" collapsed="false">
      <c r="A8" s="48" t="n">
        <v>2</v>
      </c>
      <c r="B8" s="49" t="s">
        <v>73</v>
      </c>
      <c r="C8" s="50" t="s">
        <v>26</v>
      </c>
      <c r="D8" s="50" t="s">
        <v>74</v>
      </c>
      <c r="E8" s="51" t="s">
        <v>75</v>
      </c>
      <c r="F8" s="43" t="s">
        <v>76</v>
      </c>
      <c r="G8" s="43" t="s">
        <v>77</v>
      </c>
      <c r="H8" s="43" t="s">
        <v>78</v>
      </c>
      <c r="I8" s="52" t="str">
        <f aca="false">IF($B8="","",IF($F8="No aplica","No aplica",IF(AND($G8="OK",$H8="OK"),"Acceso total (WiFi + Cable)",IF(AND($G8="OK",$H8&lt;&gt;"OK"),"Solo WiFi",IF(AND($H8="OK",$G8&lt;&gt;"OK"),"Solo cable Ethernet",IF(AND($G8="KO",$H8="KO"),"Sin acceso","Pendiente"))))))</f>
        <v>Solo WiFi</v>
      </c>
      <c r="J8" s="43" t="s">
        <v>71</v>
      </c>
      <c r="K8" s="45"/>
      <c r="L8" s="46"/>
      <c r="M8" s="43" t="s">
        <v>39</v>
      </c>
      <c r="N8" s="47" t="s">
        <v>79</v>
      </c>
    </row>
    <row r="9" customFormat="false" ht="30" hidden="false" customHeight="true" outlineLevel="0" collapsed="false">
      <c r="A9" s="39" t="n">
        <v>3</v>
      </c>
      <c r="B9" s="40" t="s">
        <v>80</v>
      </c>
      <c r="C9" s="41" t="s">
        <v>27</v>
      </c>
      <c r="D9" s="41" t="s">
        <v>81</v>
      </c>
      <c r="E9" s="53" t="s">
        <v>82</v>
      </c>
      <c r="F9" s="43" t="s">
        <v>76</v>
      </c>
      <c r="G9" s="43" t="s">
        <v>78</v>
      </c>
      <c r="H9" s="43" t="s">
        <v>78</v>
      </c>
      <c r="I9" s="44" t="str">
        <f aca="false">IF($B9="","",IF($F9="No aplica","No aplica",IF(AND($G9="OK",$H9="OK"),"Acceso total (WiFi + Cable)",IF(AND($G9="OK",$H9&lt;&gt;"OK"),"Solo WiFi",IF(AND($H9="OK",$G9&lt;&gt;"OK"),"Solo cable Ethernet",IF(AND($G9="KO",$H9="KO"),"Sin acceso","Pendiente"))))))</f>
        <v>Sin acceso</v>
      </c>
      <c r="J9" s="43" t="s">
        <v>83</v>
      </c>
      <c r="K9" s="45"/>
      <c r="L9" s="46"/>
      <c r="M9" s="43" t="s">
        <v>38</v>
      </c>
      <c r="N9" s="47" t="s">
        <v>84</v>
      </c>
    </row>
    <row r="10" customFormat="false" ht="30" hidden="false" customHeight="true" outlineLevel="0" collapsed="false">
      <c r="A10" s="48" t="n">
        <v>4</v>
      </c>
      <c r="B10" s="49" t="s">
        <v>85</v>
      </c>
      <c r="C10" s="50" t="s">
        <v>30</v>
      </c>
      <c r="D10" s="50" t="s">
        <v>86</v>
      </c>
      <c r="E10" s="51" t="s">
        <v>87</v>
      </c>
      <c r="F10" s="43" t="s">
        <v>76</v>
      </c>
      <c r="G10" s="43" t="s">
        <v>77</v>
      </c>
      <c r="H10" s="43" t="s">
        <v>77</v>
      </c>
      <c r="I10" s="52" t="str">
        <f aca="false">IF($B10="","",IF($F10="No aplica","No aplica",IF(AND($G10="OK",$H10="OK"),"Acceso total (WiFi + Cable)",IF(AND($G10="OK",$H10&lt;&gt;"OK"),"Solo WiFi",IF(AND($H10="OK",$G10&lt;&gt;"OK"),"Solo cable Ethernet",IF(AND($G10="KO",$H10="KO"),"Sin acceso","Pendiente"))))))</f>
        <v>Acceso total (WiFi + Cable)</v>
      </c>
      <c r="J10" s="43" t="s">
        <v>88</v>
      </c>
      <c r="K10" s="45"/>
      <c r="L10" s="46"/>
      <c r="M10" s="43" t="s">
        <v>35</v>
      </c>
      <c r="N10" s="47" t="s">
        <v>89</v>
      </c>
    </row>
    <row r="11" customFormat="false" ht="30" hidden="false" customHeight="true" outlineLevel="0" collapsed="false">
      <c r="A11" s="39" t="n">
        <v>5</v>
      </c>
      <c r="B11" s="40" t="s">
        <v>90</v>
      </c>
      <c r="C11" s="41" t="s">
        <v>30</v>
      </c>
      <c r="D11" s="41" t="s">
        <v>86</v>
      </c>
      <c r="E11" s="53" t="s">
        <v>91</v>
      </c>
      <c r="F11" s="43" t="s">
        <v>76</v>
      </c>
      <c r="G11" s="43" t="s">
        <v>77</v>
      </c>
      <c r="H11" s="43" t="s">
        <v>77</v>
      </c>
      <c r="I11" s="44" t="str">
        <f aca="false">IF($B11="","",IF($F11="No aplica","No aplica",IF(AND($G11="OK",$H11="OK"),"Acceso total (WiFi + Cable)",IF(AND($G11="OK",$H11&lt;&gt;"OK"),"Solo WiFi",IF(AND($H11="OK",$G11&lt;&gt;"OK"),"Solo cable Ethernet",IF(AND($G11="KO",$H11="KO"),"Sin acceso","Pendiente"))))))</f>
        <v>Acceso total (WiFi + Cable)</v>
      </c>
      <c r="J11" s="43" t="s">
        <v>88</v>
      </c>
      <c r="K11" s="45"/>
      <c r="L11" s="46"/>
      <c r="M11" s="43" t="s">
        <v>35</v>
      </c>
      <c r="N11" s="47" t="s">
        <v>89</v>
      </c>
    </row>
    <row r="12" customFormat="false" ht="30" hidden="false" customHeight="true" outlineLevel="0" collapsed="false">
      <c r="A12" s="48" t="n">
        <v>6</v>
      </c>
      <c r="B12" s="49" t="s">
        <v>92</v>
      </c>
      <c r="C12" s="50" t="s">
        <v>29</v>
      </c>
      <c r="D12" s="50" t="s">
        <v>93</v>
      </c>
      <c r="E12" s="51" t="s">
        <v>94</v>
      </c>
      <c r="F12" s="43" t="s">
        <v>76</v>
      </c>
      <c r="G12" s="43" t="s">
        <v>77</v>
      </c>
      <c r="H12" s="43" t="s">
        <v>77</v>
      </c>
      <c r="I12" s="52" t="str">
        <f aca="false">IF($B12="","",IF($F12="No aplica","No aplica",IF(AND($G12="OK",$H12="OK"),"Acceso total (WiFi + Cable)",IF(AND($G12="OK",$H12&lt;&gt;"OK"),"Solo WiFi",IF(AND($H12="OK",$G12&lt;&gt;"OK"),"Solo cable Ethernet",IF(AND($G12="KO",$H12="KO"),"Sin acceso","Pendiente"))))))</f>
        <v>Acceso total (WiFi + Cable)</v>
      </c>
      <c r="J12" s="43" t="s">
        <v>83</v>
      </c>
      <c r="K12" s="45"/>
      <c r="L12" s="46"/>
      <c r="M12" s="43" t="s">
        <v>35</v>
      </c>
      <c r="N12" s="47" t="s">
        <v>89</v>
      </c>
    </row>
    <row r="13" customFormat="false" ht="30" hidden="false" customHeight="true" outlineLevel="0" collapsed="false">
      <c r="A13" s="39" t="n">
        <v>7</v>
      </c>
      <c r="B13" s="40" t="s">
        <v>95</v>
      </c>
      <c r="C13" s="41" t="s">
        <v>31</v>
      </c>
      <c r="D13" s="41" t="s">
        <v>96</v>
      </c>
      <c r="E13" s="42" t="s">
        <v>97</v>
      </c>
      <c r="F13" s="43" t="s">
        <v>98</v>
      </c>
      <c r="G13" s="43" t="s">
        <v>70</v>
      </c>
      <c r="H13" s="43" t="s">
        <v>70</v>
      </c>
      <c r="I13" s="44" t="str">
        <f aca="false">IF($B13="","",IF($F13="No aplica","No aplica",IF(AND($G13="OK",$H13="OK"),"Acceso total (WiFi + Cable)",IF(AND($G13="OK",$H13&lt;&gt;"OK"),"Solo WiFi",IF(AND($H13="OK",$G13&lt;&gt;"OK"),"Solo cable Ethernet",IF(AND($G13="KO",$H13="KO"),"Sin acceso","Pendiente"))))))</f>
        <v>Pendiente</v>
      </c>
      <c r="J13" s="43" t="s">
        <v>83</v>
      </c>
      <c r="K13" s="45"/>
      <c r="L13" s="46"/>
      <c r="M13" s="43" t="s">
        <v>37</v>
      </c>
      <c r="N13" s="47" t="s">
        <v>99</v>
      </c>
    </row>
    <row r="14" customFormat="false" ht="30" hidden="false" customHeight="true" outlineLevel="0" collapsed="false">
      <c r="A14" s="48" t="n">
        <v>8</v>
      </c>
      <c r="B14" s="49" t="s">
        <v>100</v>
      </c>
      <c r="C14" s="50" t="s">
        <v>29</v>
      </c>
      <c r="D14" s="50" t="s">
        <v>93</v>
      </c>
      <c r="E14" s="54" t="s">
        <v>101</v>
      </c>
      <c r="F14" s="43" t="s">
        <v>98</v>
      </c>
      <c r="G14" s="43" t="s">
        <v>70</v>
      </c>
      <c r="H14" s="43" t="s">
        <v>70</v>
      </c>
      <c r="I14" s="52" t="str">
        <f aca="false">IF($B14="","",IF($F14="No aplica","No aplica",IF(AND($G14="OK",$H14="OK"),"Acceso total (WiFi + Cable)",IF(AND($G14="OK",$H14&lt;&gt;"OK"),"Solo WiFi",IF(AND($H14="OK",$G14&lt;&gt;"OK"),"Solo cable Ethernet",IF(AND($G14="KO",$H14="KO"),"Sin acceso","Pendiente"))))))</f>
        <v>Pendiente</v>
      </c>
      <c r="J14" s="43" t="s">
        <v>83</v>
      </c>
      <c r="K14" s="45"/>
      <c r="L14" s="46"/>
      <c r="M14" s="43" t="s">
        <v>37</v>
      </c>
      <c r="N14" s="47" t="s">
        <v>99</v>
      </c>
    </row>
    <row r="15" customFormat="false" ht="30" hidden="false" customHeight="true" outlineLevel="0" collapsed="false">
      <c r="A15" s="39" t="n">
        <v>9</v>
      </c>
      <c r="B15" s="40" t="s">
        <v>102</v>
      </c>
      <c r="C15" s="41" t="s">
        <v>30</v>
      </c>
      <c r="D15" s="41" t="s">
        <v>86</v>
      </c>
      <c r="E15" s="53" t="s">
        <v>103</v>
      </c>
      <c r="F15" s="43" t="s">
        <v>76</v>
      </c>
      <c r="G15" s="43" t="s">
        <v>77</v>
      </c>
      <c r="H15" s="43" t="s">
        <v>77</v>
      </c>
      <c r="I15" s="44" t="str">
        <f aca="false">IF($B15="","",IF($F15="No aplica","No aplica",IF(AND($G15="OK",$H15="OK"),"Acceso total (WiFi + Cable)",IF(AND($G15="OK",$H15&lt;&gt;"OK"),"Solo WiFi",IF(AND($H15="OK",$G15&lt;&gt;"OK"),"Solo cable Ethernet",IF(AND($G15="KO",$H15="KO"),"Sin acceso","Pendiente"))))))</f>
        <v>Acceso total (WiFi + Cable)</v>
      </c>
      <c r="J15" s="43" t="s">
        <v>88</v>
      </c>
      <c r="K15" s="45"/>
      <c r="L15" s="46"/>
      <c r="M15" s="43" t="s">
        <v>35</v>
      </c>
      <c r="N15" s="47" t="s">
        <v>89</v>
      </c>
    </row>
    <row r="16" customFormat="false" ht="30" hidden="false" customHeight="true" outlineLevel="0" collapsed="false">
      <c r="A16" s="48" t="n">
        <v>10</v>
      </c>
      <c r="B16" s="49" t="s">
        <v>104</v>
      </c>
      <c r="C16" s="50" t="s">
        <v>28</v>
      </c>
      <c r="D16" s="50" t="s">
        <v>105</v>
      </c>
      <c r="E16" s="51" t="s">
        <v>106</v>
      </c>
      <c r="F16" s="43" t="s">
        <v>76</v>
      </c>
      <c r="G16" s="43" t="s">
        <v>78</v>
      </c>
      <c r="H16" s="43" t="s">
        <v>78</v>
      </c>
      <c r="I16" s="52" t="str">
        <f aca="false">IF($B16="","",IF($F16="No aplica","No aplica",IF(AND($G16="OK",$H16="OK"),"Acceso total (WiFi + Cable)",IF(AND($G16="OK",$H16&lt;&gt;"OK"),"Solo WiFi",IF(AND($H16="OK",$G16&lt;&gt;"OK"),"Solo cable Ethernet",IF(AND($G16="KO",$H16="KO"),"Sin acceso","Pendiente"))))))</f>
        <v>Sin acceso</v>
      </c>
      <c r="J16" s="43" t="s">
        <v>83</v>
      </c>
      <c r="K16" s="45"/>
      <c r="L16" s="46"/>
      <c r="M16" s="43" t="s">
        <v>38</v>
      </c>
      <c r="N16" s="47" t="s">
        <v>107</v>
      </c>
    </row>
    <row r="17" customFormat="false" ht="30" hidden="false" customHeight="true" outlineLevel="0" collapsed="false">
      <c r="A17" s="39" t="n">
        <v>11</v>
      </c>
      <c r="B17" s="40" t="s">
        <v>108</v>
      </c>
      <c r="C17" s="41" t="s">
        <v>28</v>
      </c>
      <c r="D17" s="41" t="s">
        <v>105</v>
      </c>
      <c r="E17" s="53" t="s">
        <v>109</v>
      </c>
      <c r="F17" s="43" t="s">
        <v>76</v>
      </c>
      <c r="G17" s="43" t="s">
        <v>77</v>
      </c>
      <c r="H17" s="43" t="s">
        <v>77</v>
      </c>
      <c r="I17" s="44" t="str">
        <f aca="false">IF($B17="","",IF($F17="No aplica","No aplica",IF(AND($G17="OK",$H17="OK"),"Acceso total (WiFi + Cable)",IF(AND($G17="OK",$H17&lt;&gt;"OK"),"Solo WiFi",IF(AND($H17="OK",$G17&lt;&gt;"OK"),"Solo cable Ethernet",IF(AND($G17="KO",$H17="KO"),"Sin acceso","Pendiente"))))))</f>
        <v>Acceso total (WiFi + Cable)</v>
      </c>
      <c r="J17" s="43" t="s">
        <v>83</v>
      </c>
      <c r="K17" s="45"/>
      <c r="L17" s="46"/>
      <c r="M17" s="43" t="s">
        <v>35</v>
      </c>
      <c r="N17" s="47" t="s">
        <v>110</v>
      </c>
    </row>
    <row r="18" customFormat="false" ht="30" hidden="false" customHeight="true" outlineLevel="0" collapsed="false">
      <c r="A18" s="48" t="n">
        <v>12</v>
      </c>
      <c r="B18" s="49" t="s">
        <v>111</v>
      </c>
      <c r="C18" s="50" t="s">
        <v>28</v>
      </c>
      <c r="D18" s="50" t="s">
        <v>86</v>
      </c>
      <c r="E18" s="51" t="s">
        <v>112</v>
      </c>
      <c r="F18" s="43" t="s">
        <v>76</v>
      </c>
      <c r="G18" s="43" t="s">
        <v>77</v>
      </c>
      <c r="H18" s="43" t="s">
        <v>77</v>
      </c>
      <c r="I18" s="52" t="str">
        <f aca="false">IF($B18="","",IF($F18="No aplica","No aplica",IF(AND($G18="OK",$H18="OK"),"Acceso total (WiFi + Cable)",IF(AND($G18="OK",$H18&lt;&gt;"OK"),"Solo WiFi",IF(AND($H18="OK",$G18&lt;&gt;"OK"),"Solo cable Ethernet",IF(AND($G18="KO",$H18="KO"),"Sin acceso","Pendiente"))))))</f>
        <v>Acceso total (WiFi + Cable)</v>
      </c>
      <c r="J18" s="43" t="s">
        <v>83</v>
      </c>
      <c r="K18" s="45"/>
      <c r="L18" s="46"/>
      <c r="M18" s="43" t="s">
        <v>35</v>
      </c>
      <c r="N18" s="47" t="s">
        <v>110</v>
      </c>
    </row>
    <row r="19" customFormat="false" ht="30" hidden="false" customHeight="true" outlineLevel="0" collapsed="false">
      <c r="A19" s="39" t="n">
        <v>13</v>
      </c>
      <c r="B19" s="40" t="s">
        <v>113</v>
      </c>
      <c r="C19" s="41" t="s">
        <v>28</v>
      </c>
      <c r="D19" s="41" t="s">
        <v>86</v>
      </c>
      <c r="E19" s="42" t="s">
        <v>114</v>
      </c>
      <c r="F19" s="43" t="s">
        <v>76</v>
      </c>
      <c r="G19" s="43" t="s">
        <v>78</v>
      </c>
      <c r="H19" s="43" t="s">
        <v>78</v>
      </c>
      <c r="I19" s="44" t="str">
        <f aca="false">IF($B19="","",IF($F19="No aplica","No aplica",IF(AND($G19="OK",$H19="OK"),"Acceso total (WiFi + Cable)",IF(AND($G19="OK",$H19&lt;&gt;"OK"),"Solo WiFi",IF(AND($H19="OK",$G19&lt;&gt;"OK"),"Solo cable Ethernet",IF(AND($G19="KO",$H19="KO"),"Sin acceso","Pendiente"))))))</f>
        <v>Sin acceso</v>
      </c>
      <c r="J19" s="43" t="s">
        <v>83</v>
      </c>
      <c r="K19" s="45"/>
      <c r="L19" s="46"/>
      <c r="M19" s="43" t="s">
        <v>38</v>
      </c>
      <c r="N19" s="47" t="s">
        <v>115</v>
      </c>
    </row>
    <row r="20" customFormat="false" ht="30" hidden="false" customHeight="true" outlineLevel="0" collapsed="false">
      <c r="A20" s="48" t="n">
        <v>14</v>
      </c>
      <c r="B20" s="49" t="s">
        <v>116</v>
      </c>
      <c r="C20" s="50" t="s">
        <v>28</v>
      </c>
      <c r="D20" s="50" t="s">
        <v>86</v>
      </c>
      <c r="E20" s="51" t="s">
        <v>117</v>
      </c>
      <c r="F20" s="43" t="s">
        <v>76</v>
      </c>
      <c r="G20" s="43" t="s">
        <v>78</v>
      </c>
      <c r="H20" s="43" t="s">
        <v>78</v>
      </c>
      <c r="I20" s="52" t="str">
        <f aca="false">IF($B20="","",IF($F20="No aplica","No aplica",IF(AND($G20="OK",$H20="OK"),"Acceso total (WiFi + Cable)",IF(AND($G20="OK",$H20&lt;&gt;"OK"),"Solo WiFi",IF(AND($H20="OK",$G20&lt;&gt;"OK"),"Solo cable Ethernet",IF(AND($G20="KO",$H20="KO"),"Sin acceso","Pendiente"))))))</f>
        <v>Sin acceso</v>
      </c>
      <c r="J20" s="43" t="s">
        <v>83</v>
      </c>
      <c r="K20" s="45"/>
      <c r="L20" s="46"/>
      <c r="M20" s="43" t="s">
        <v>38</v>
      </c>
      <c r="N20" s="47" t="s">
        <v>107</v>
      </c>
    </row>
    <row r="21" customFormat="false" ht="30" hidden="false" customHeight="true" outlineLevel="0" collapsed="false">
      <c r="A21" s="39" t="n">
        <v>15</v>
      </c>
      <c r="B21" s="40" t="s">
        <v>118</v>
      </c>
      <c r="C21" s="41" t="s">
        <v>28</v>
      </c>
      <c r="D21" s="41" t="s">
        <v>86</v>
      </c>
      <c r="E21" s="53" t="s">
        <v>119</v>
      </c>
      <c r="F21" s="43" t="s">
        <v>76</v>
      </c>
      <c r="G21" s="43" t="s">
        <v>78</v>
      </c>
      <c r="H21" s="43" t="s">
        <v>78</v>
      </c>
      <c r="I21" s="44" t="str">
        <f aca="false">IF($B21="","",IF($F21="No aplica","No aplica",IF(AND($G21="OK",$H21="OK"),"Acceso total (WiFi + Cable)",IF(AND($G21="OK",$H21&lt;&gt;"OK"),"Solo WiFi",IF(AND($H21="OK",$G21&lt;&gt;"OK"),"Solo cable Ethernet",IF(AND($G21="KO",$H21="KO"),"Sin acceso","Pendiente"))))))</f>
        <v>Sin acceso</v>
      </c>
      <c r="J21" s="43" t="s">
        <v>88</v>
      </c>
      <c r="K21" s="45"/>
      <c r="L21" s="46"/>
      <c r="M21" s="43" t="s">
        <v>38</v>
      </c>
      <c r="N21" s="47" t="s">
        <v>107</v>
      </c>
    </row>
    <row r="22" customFormat="false" ht="30" hidden="false" customHeight="true" outlineLevel="0" collapsed="false">
      <c r="A22" s="48" t="n">
        <v>16</v>
      </c>
      <c r="B22" s="49" t="s">
        <v>120</v>
      </c>
      <c r="C22" s="50" t="s">
        <v>28</v>
      </c>
      <c r="D22" s="50" t="s">
        <v>121</v>
      </c>
      <c r="E22" s="51" t="s">
        <v>122</v>
      </c>
      <c r="F22" s="43" t="s">
        <v>76</v>
      </c>
      <c r="G22" s="43" t="s">
        <v>78</v>
      </c>
      <c r="H22" s="43" t="s">
        <v>78</v>
      </c>
      <c r="I22" s="52" t="str">
        <f aca="false">IF($B22="","",IF($F22="No aplica","No aplica",IF(AND($G22="OK",$H22="OK"),"Acceso total (WiFi + Cable)",IF(AND($G22="OK",$H22&lt;&gt;"OK"),"Solo WiFi",IF(AND($H22="OK",$G22&lt;&gt;"OK"),"Solo cable Ethernet",IF(AND($G22="KO",$H22="KO"),"Sin acceso","Pendiente"))))))</f>
        <v>Sin acceso</v>
      </c>
      <c r="J22" s="43" t="s">
        <v>88</v>
      </c>
      <c r="K22" s="45"/>
      <c r="L22" s="46"/>
      <c r="M22" s="43" t="s">
        <v>38</v>
      </c>
      <c r="N22" s="47" t="s">
        <v>123</v>
      </c>
    </row>
    <row r="23" customFormat="false" ht="30" hidden="false" customHeight="true" outlineLevel="0" collapsed="false">
      <c r="A23" s="55" t="n">
        <v>17</v>
      </c>
      <c r="B23" s="56" t="s">
        <v>124</v>
      </c>
      <c r="C23" s="57" t="s">
        <v>27</v>
      </c>
      <c r="D23" s="57" t="s">
        <v>81</v>
      </c>
      <c r="E23" s="58" t="s">
        <v>125</v>
      </c>
      <c r="F23" s="59" t="s">
        <v>76</v>
      </c>
      <c r="G23" s="59" t="s">
        <v>78</v>
      </c>
      <c r="H23" s="59" t="s">
        <v>78</v>
      </c>
      <c r="I23" s="60" t="str">
        <f aca="false">IF($B23="","",IF($F23="No aplica","No aplica",IF(AND($G23="OK",$H23="OK"),"Acceso total (WiFi + Cable)",IF(AND($G23="OK",$H23&lt;&gt;"OK"),"Solo WiFi",IF(AND($H23="OK",$G23&lt;&gt;"OK"),"Solo cable Ethernet",IF(AND($G23="KO",$H23="KO"),"Sin acceso","Pendiente"))))))</f>
        <v>Sin acceso</v>
      </c>
      <c r="J23" s="59" t="s">
        <v>83</v>
      </c>
      <c r="K23" s="61"/>
      <c r="L23" s="62"/>
      <c r="M23" s="59" t="s">
        <v>38</v>
      </c>
      <c r="N23" s="63" t="s">
        <v>107</v>
      </c>
    </row>
    <row r="24" customFormat="false" ht="30" hidden="false" customHeight="true" outlineLevel="0" collapsed="false">
      <c r="A24" s="48" t="str">
        <f aca="false">IF($B24="","",ROW()-6)</f>
        <v/>
      </c>
      <c r="B24" s="50"/>
      <c r="C24" s="50"/>
      <c r="D24" s="50"/>
      <c r="E24" s="50"/>
      <c r="F24" s="43"/>
      <c r="G24" s="43"/>
      <c r="H24" s="43"/>
      <c r="I24" s="52" t="str">
        <f aca="false">IF($B24="","",IF($F24="No aplica","No aplica",IF(AND($G24="OK",$H24="OK"),"Acceso total (WiFi + Cable)",IF(AND($G24="OK",$H24&lt;&gt;"OK"),"Solo WiFi",IF(AND($H24="OK",$G24&lt;&gt;"OK"),"Solo cable Ethernet",IF(AND($G24="KO",$H24="KO"),"Sin acceso","Pendiente"))))))</f>
        <v/>
      </c>
      <c r="J24" s="43"/>
      <c r="K24" s="45"/>
      <c r="L24" s="46"/>
      <c r="M24" s="43"/>
      <c r="N24" s="47"/>
    </row>
    <row r="25" customFormat="false" ht="30" hidden="false" customHeight="true" outlineLevel="0" collapsed="false">
      <c r="A25" s="39" t="str">
        <f aca="false">IF($B25="","",ROW()-6)</f>
        <v/>
      </c>
      <c r="B25" s="41"/>
      <c r="C25" s="41"/>
      <c r="D25" s="41"/>
      <c r="E25" s="41"/>
      <c r="F25" s="43"/>
      <c r="G25" s="43"/>
      <c r="H25" s="43"/>
      <c r="I25" s="44" t="str">
        <f aca="false">IF($B25="","",IF($F25="No aplica","No aplica",IF(AND($G25="OK",$H25="OK"),"Acceso total (WiFi + Cable)",IF(AND($G25="OK",$H25&lt;&gt;"OK"),"Solo WiFi",IF(AND($H25="OK",$G25&lt;&gt;"OK"),"Solo cable Ethernet",IF(AND($G25="KO",$H25="KO"),"Sin acceso","Pendiente"))))))</f>
        <v/>
      </c>
      <c r="J25" s="43"/>
      <c r="K25" s="45"/>
      <c r="L25" s="46"/>
      <c r="M25" s="43"/>
      <c r="N25" s="47"/>
    </row>
    <row r="26" customFormat="false" ht="30" hidden="false" customHeight="true" outlineLevel="0" collapsed="false">
      <c r="A26" s="48" t="str">
        <f aca="false">IF($B26="","",ROW()-6)</f>
        <v/>
      </c>
      <c r="B26" s="50"/>
      <c r="C26" s="50"/>
      <c r="D26" s="50"/>
      <c r="E26" s="50"/>
      <c r="F26" s="43"/>
      <c r="G26" s="43"/>
      <c r="H26" s="43"/>
      <c r="I26" s="52" t="str">
        <f aca="false">IF($B26="","",IF($F26="No aplica","No aplica",IF(AND($G26="OK",$H26="OK"),"Acceso total (WiFi + Cable)",IF(AND($G26="OK",$H26&lt;&gt;"OK"),"Solo WiFi",IF(AND($H26="OK",$G26&lt;&gt;"OK"),"Solo cable Ethernet",IF(AND($G26="KO",$H26="KO"),"Sin acceso","Pendiente"))))))</f>
        <v/>
      </c>
      <c r="J26" s="43"/>
      <c r="K26" s="45"/>
      <c r="L26" s="46"/>
      <c r="M26" s="43"/>
      <c r="N26" s="47"/>
    </row>
    <row r="27" customFormat="false" ht="30" hidden="false" customHeight="true" outlineLevel="0" collapsed="false">
      <c r="A27" s="39" t="str">
        <f aca="false">IF($B27="","",ROW()-6)</f>
        <v/>
      </c>
      <c r="B27" s="41"/>
      <c r="C27" s="41"/>
      <c r="D27" s="41"/>
      <c r="E27" s="41"/>
      <c r="F27" s="43"/>
      <c r="G27" s="43"/>
      <c r="H27" s="43"/>
      <c r="I27" s="44" t="str">
        <f aca="false">IF($B27="","",IF($F27="No aplica","No aplica",IF(AND($G27="OK",$H27="OK"),"Acceso total (WiFi + Cable)",IF(AND($G27="OK",$H27&lt;&gt;"OK"),"Solo WiFi",IF(AND($H27="OK",$G27&lt;&gt;"OK"),"Solo cable Ethernet",IF(AND($G27="KO",$H27="KO"),"Sin acceso","Pendiente"))))))</f>
        <v/>
      </c>
      <c r="J27" s="43"/>
      <c r="K27" s="45"/>
      <c r="L27" s="46"/>
      <c r="M27" s="43"/>
      <c r="N27" s="47"/>
    </row>
    <row r="28" customFormat="false" ht="30" hidden="false" customHeight="true" outlineLevel="0" collapsed="false">
      <c r="A28" s="48" t="str">
        <f aca="false">IF($B28="","",ROW()-6)</f>
        <v/>
      </c>
      <c r="B28" s="50"/>
      <c r="C28" s="50"/>
      <c r="D28" s="50"/>
      <c r="E28" s="50"/>
      <c r="F28" s="43"/>
      <c r="G28" s="43"/>
      <c r="H28" s="43"/>
      <c r="I28" s="52" t="str">
        <f aca="false">IF($B28="","",IF($F28="No aplica","No aplica",IF(AND($G28="OK",$H28="OK"),"Acceso total (WiFi + Cable)",IF(AND($G28="OK",$H28&lt;&gt;"OK"),"Solo WiFi",IF(AND($H28="OK",$G28&lt;&gt;"OK"),"Solo cable Ethernet",IF(AND($G28="KO",$H28="KO"),"Sin acceso","Pendiente"))))))</f>
        <v/>
      </c>
      <c r="J28" s="43"/>
      <c r="K28" s="45"/>
      <c r="L28" s="46"/>
      <c r="M28" s="43"/>
      <c r="N28" s="47"/>
    </row>
    <row r="29" customFormat="false" ht="30" hidden="false" customHeight="true" outlineLevel="0" collapsed="false">
      <c r="A29" s="39" t="str">
        <f aca="false">IF($B29="","",ROW()-6)</f>
        <v/>
      </c>
      <c r="B29" s="41"/>
      <c r="C29" s="41"/>
      <c r="D29" s="41"/>
      <c r="E29" s="41"/>
      <c r="F29" s="43"/>
      <c r="G29" s="43"/>
      <c r="H29" s="43"/>
      <c r="I29" s="44" t="str">
        <f aca="false">IF($B29="","",IF($F29="No aplica","No aplica",IF(AND($G29="OK",$H29="OK"),"Acceso total (WiFi + Cable)",IF(AND($G29="OK",$H29&lt;&gt;"OK"),"Solo WiFi",IF(AND($H29="OK",$G29&lt;&gt;"OK"),"Solo cable Ethernet",IF(AND($G29="KO",$H29="KO"),"Sin acceso","Pendiente"))))))</f>
        <v/>
      </c>
      <c r="J29" s="43"/>
      <c r="K29" s="45"/>
      <c r="L29" s="46"/>
      <c r="M29" s="43"/>
      <c r="N29" s="47"/>
    </row>
    <row r="30" customFormat="false" ht="30" hidden="false" customHeight="true" outlineLevel="0" collapsed="false">
      <c r="A30" s="48" t="str">
        <f aca="false">IF($B30="","",ROW()-6)</f>
        <v/>
      </c>
      <c r="B30" s="50"/>
      <c r="C30" s="50"/>
      <c r="D30" s="50"/>
      <c r="E30" s="50"/>
      <c r="F30" s="43"/>
      <c r="G30" s="43"/>
      <c r="H30" s="43"/>
      <c r="I30" s="52" t="str">
        <f aca="false">IF($B30="","",IF($F30="No aplica","No aplica",IF(AND($G30="OK",$H30="OK"),"Acceso total (WiFi + Cable)",IF(AND($G30="OK",$H30&lt;&gt;"OK"),"Solo WiFi",IF(AND($H30="OK",$G30&lt;&gt;"OK"),"Solo cable Ethernet",IF(AND($G30="KO",$H30="KO"),"Sin acceso","Pendiente"))))))</f>
        <v/>
      </c>
      <c r="J30" s="43"/>
      <c r="K30" s="45"/>
      <c r="L30" s="46"/>
      <c r="M30" s="43"/>
      <c r="N30" s="47"/>
    </row>
    <row r="31" customFormat="false" ht="30" hidden="false" customHeight="true" outlineLevel="0" collapsed="false">
      <c r="A31" s="39" t="str">
        <f aca="false">IF($B31="","",ROW()-6)</f>
        <v/>
      </c>
      <c r="B31" s="41"/>
      <c r="C31" s="41"/>
      <c r="D31" s="41"/>
      <c r="E31" s="41"/>
      <c r="F31" s="43"/>
      <c r="G31" s="43"/>
      <c r="H31" s="43"/>
      <c r="I31" s="44" t="str">
        <f aca="false">IF($B31="","",IF($F31="No aplica","No aplica",IF(AND($G31="OK",$H31="OK"),"Acceso total (WiFi + Cable)",IF(AND($G31="OK",$H31&lt;&gt;"OK"),"Solo WiFi",IF(AND($H31="OK",$G31&lt;&gt;"OK"),"Solo cable Ethernet",IF(AND($G31="KO",$H31="KO"),"Sin acceso","Pendiente"))))))</f>
        <v/>
      </c>
      <c r="J31" s="43"/>
      <c r="K31" s="45"/>
      <c r="L31" s="46"/>
      <c r="M31" s="43"/>
      <c r="N31" s="47"/>
    </row>
    <row r="32" customFormat="false" ht="30" hidden="false" customHeight="true" outlineLevel="0" collapsed="false">
      <c r="A32" s="48" t="str">
        <f aca="false">IF($B32="","",ROW()-6)</f>
        <v/>
      </c>
      <c r="B32" s="50"/>
      <c r="C32" s="50"/>
      <c r="D32" s="50"/>
      <c r="E32" s="50"/>
      <c r="F32" s="43"/>
      <c r="G32" s="43"/>
      <c r="H32" s="43"/>
      <c r="I32" s="52" t="str">
        <f aca="false">IF($B32="","",IF($F32="No aplica","No aplica",IF(AND($G32="OK",$H32="OK"),"Acceso total (WiFi + Cable)",IF(AND($G32="OK",$H32&lt;&gt;"OK"),"Solo WiFi",IF(AND($H32="OK",$G32&lt;&gt;"OK"),"Solo cable Ethernet",IF(AND($G32="KO",$H32="KO"),"Sin acceso","Pendiente"))))))</f>
        <v/>
      </c>
      <c r="J32" s="43"/>
      <c r="K32" s="45"/>
      <c r="L32" s="46"/>
      <c r="M32" s="43"/>
      <c r="N32" s="47"/>
    </row>
    <row r="33" customFormat="false" ht="30" hidden="false" customHeight="true" outlineLevel="0" collapsed="false">
      <c r="A33" s="64" t="str">
        <f aca="false">IF($B33="","",ROW()-6)</f>
        <v/>
      </c>
      <c r="B33" s="65"/>
      <c r="C33" s="65"/>
      <c r="D33" s="65"/>
      <c r="E33" s="65"/>
      <c r="F33" s="66"/>
      <c r="G33" s="66"/>
      <c r="H33" s="66"/>
      <c r="I33" s="67" t="str">
        <f aca="false">IF($B33="","",IF($F33="No aplica","No aplica",IF(AND($G33="OK",$H33="OK"),"Acceso total (WiFi + Cable)",IF(AND($G33="OK",$H33&lt;&gt;"OK"),"Solo WiFi",IF(AND($H33="OK",$G33&lt;&gt;"OK"),"Solo cable Ethernet",IF(AND($G33="KO",$H33="KO"),"Sin acceso","Pendiente"))))))</f>
        <v/>
      </c>
      <c r="J33" s="66"/>
      <c r="K33" s="68"/>
      <c r="L33" s="69"/>
      <c r="M33" s="66"/>
      <c r="N33" s="70"/>
    </row>
    <row r="35" customFormat="false" ht="19.5" hidden="false" customHeight="true" outlineLevel="0" collapsed="false">
      <c r="A35" s="71" t="s">
        <v>126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</row>
    <row r="36" customFormat="false" ht="30" hidden="false" customHeight="true" outlineLevel="0" collapsed="false">
      <c r="A36" s="72" t="s">
        <v>127</v>
      </c>
      <c r="B36" s="73" t="s">
        <v>128</v>
      </c>
      <c r="C36" s="73" t="s">
        <v>22</v>
      </c>
      <c r="D36" s="73" t="s">
        <v>93</v>
      </c>
      <c r="E36" s="73" t="s">
        <v>129</v>
      </c>
      <c r="F36" s="72" t="s">
        <v>76</v>
      </c>
      <c r="G36" s="72" t="s">
        <v>77</v>
      </c>
      <c r="H36" s="72" t="s">
        <v>78</v>
      </c>
      <c r="I36" s="74" t="s">
        <v>15</v>
      </c>
      <c r="J36" s="72" t="s">
        <v>83</v>
      </c>
      <c r="K36" s="75" t="s">
        <v>130</v>
      </c>
      <c r="L36" s="72" t="s">
        <v>131</v>
      </c>
      <c r="M36" s="72" t="s">
        <v>39</v>
      </c>
      <c r="N36" s="73" t="s">
        <v>132</v>
      </c>
    </row>
    <row r="38" customFormat="false" ht="21.75" hidden="false" customHeight="true" outlineLevel="0" collapsed="false">
      <c r="A38" s="76" t="s">
        <v>133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</row>
    <row r="39" customFormat="false" ht="25.5" hidden="false" customHeight="true" outlineLevel="0" collapsed="false">
      <c r="A39" s="77" t="s">
        <v>134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</row>
    <row r="40" customFormat="false" ht="25.5" hidden="false" customHeight="true" outlineLevel="0" collapsed="false">
      <c r="A40" s="77" t="s">
        <v>135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</row>
    <row r="41" customFormat="false" ht="25.5" hidden="false" customHeight="true" outlineLevel="0" collapsed="false">
      <c r="A41" s="77" t="s">
        <v>136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</row>
    <row r="42" customFormat="false" ht="25.5" hidden="false" customHeight="true" outlineLevel="0" collapsed="false">
      <c r="A42" s="77" t="s">
        <v>137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</row>
    <row r="43" customFormat="false" ht="25.5" hidden="false" customHeight="true" outlineLevel="0" collapsed="false">
      <c r="A43" s="77" t="s">
        <v>138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</row>
    <row r="44" customFormat="false" ht="25.5" hidden="false" customHeight="true" outlineLevel="0" collapsed="false">
      <c r="A44" s="77" t="s">
        <v>139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</row>
  </sheetData>
  <autoFilter ref="A6:N33"/>
  <mergeCells count="17">
    <mergeCell ref="A1:N1"/>
    <mergeCell ref="A2:N2"/>
    <mergeCell ref="A3:N3"/>
    <mergeCell ref="A4:B4"/>
    <mergeCell ref="C4:D4"/>
    <mergeCell ref="E4:F4"/>
    <mergeCell ref="G4:H4"/>
    <mergeCell ref="I4:J4"/>
    <mergeCell ref="K4:N4"/>
    <mergeCell ref="A35:N35"/>
    <mergeCell ref="A38:N38"/>
    <mergeCell ref="A39:N39"/>
    <mergeCell ref="A40:N40"/>
    <mergeCell ref="A41:N41"/>
    <mergeCell ref="A42:N42"/>
    <mergeCell ref="A43:N43"/>
    <mergeCell ref="A44:N44"/>
  </mergeCells>
  <conditionalFormatting sqref="G7:H33">
    <cfRule type="cellIs" priority="2" operator="equal" aboveAverage="0" equalAverage="0" bottom="0" percent="0" rank="0" text="" dxfId="18">
      <formula>"OK"</formula>
    </cfRule>
    <cfRule type="cellIs" priority="3" operator="equal" aboveAverage="0" equalAverage="0" bottom="0" percent="0" rank="0" text="" dxfId="19">
      <formula>"KO"</formula>
    </cfRule>
    <cfRule type="cellIs" priority="4" operator="equal" aboveAverage="0" equalAverage="0" bottom="0" percent="0" rank="0" text="" dxfId="20">
      <formula>"No probado"</formula>
    </cfRule>
    <cfRule type="cellIs" priority="5" operator="equal" aboveAverage="0" equalAverage="0" bottom="0" percent="0" rank="0" text="" dxfId="20">
      <formula>"N/A"</formula>
    </cfRule>
  </conditionalFormatting>
  <conditionalFormatting sqref="F7:F33">
    <cfRule type="cellIs" priority="6" operator="equal" aboveAverage="0" equalAverage="0" bottom="0" percent="0" rank="0" text="" dxfId="18">
      <formula>"Probado"</formula>
    </cfRule>
    <cfRule type="cellIs" priority="7" operator="equal" aboveAverage="0" equalAverage="0" bottom="0" percent="0" rank="0" text="" dxfId="21">
      <formula>"Pendiente de prueba"</formula>
    </cfRule>
    <cfRule type="cellIs" priority="8" operator="equal" aboveAverage="0" equalAverage="0" bottom="0" percent="0" rank="0" text="" dxfId="21">
      <formula>"Pendiente de instalación"</formula>
    </cfRule>
    <cfRule type="cellIs" priority="9" operator="equal" aboveAverage="0" equalAverage="0" bottom="0" percent="0" rank="0" text="" dxfId="22">
      <formula>"En curso"</formula>
    </cfRule>
    <cfRule type="cellIs" priority="10" operator="equal" aboveAverage="0" equalAverage="0" bottom="0" percent="0" rank="0" text="" dxfId="20">
      <formula>"No aplica"</formula>
    </cfRule>
  </conditionalFormatting>
  <conditionalFormatting sqref="I7:I33">
    <cfRule type="cellIs" priority="11" operator="equal" aboveAverage="0" equalAverage="0" bottom="0" percent="0" rank="0" text="" dxfId="18">
      <formula>"Acceso total (WiFi + Cable)"</formula>
    </cfRule>
    <cfRule type="cellIs" priority="12" operator="equal" aboveAverage="0" equalAverage="0" bottom="0" percent="0" rank="0" text="" dxfId="21">
      <formula>"Solo WiFi"</formula>
    </cfRule>
    <cfRule type="cellIs" priority="13" operator="equal" aboveAverage="0" equalAverage="0" bottom="0" percent="0" rank="0" text="" dxfId="21">
      <formula>"Solo cable Ethernet"</formula>
    </cfRule>
    <cfRule type="cellIs" priority="14" operator="equal" aboveAverage="0" equalAverage="0" bottom="0" percent="0" rank="0" text="" dxfId="19">
      <formula>"Sin acceso"</formula>
    </cfRule>
    <cfRule type="cellIs" priority="15" operator="equal" aboveAverage="0" equalAverage="0" bottom="0" percent="0" rank="0" text="" dxfId="20">
      <formula>"Pendiente"</formula>
    </cfRule>
    <cfRule type="cellIs" priority="16" operator="equal" aboveAverage="0" equalAverage="0" bottom="0" percent="0" rank="0" text="" dxfId="20">
      <formula>"No aplica"</formula>
    </cfRule>
  </conditionalFormatting>
  <conditionalFormatting sqref="J7:J33">
    <cfRule type="cellIs" priority="17" operator="equal" aboveAverage="0" equalAverage="0" bottom="0" percent="0" rank="0" text="" dxfId="19">
      <formula>"Crítica"</formula>
    </cfRule>
    <cfRule type="cellIs" priority="18" operator="equal" aboveAverage="0" equalAverage="0" bottom="0" percent="0" rank="0" text="" dxfId="21">
      <formula>"Alta"</formula>
    </cfRule>
    <cfRule type="cellIs" priority="19" operator="equal" aboveAverage="0" equalAverage="0" bottom="0" percent="0" rank="0" text="" dxfId="22">
      <formula>"Media"</formula>
    </cfRule>
    <cfRule type="cellIs" priority="20" operator="equal" aboveAverage="0" equalAverage="0" bottom="0" percent="0" rank="0" text="" dxfId="20">
      <formula>"Baja"</formula>
    </cfRule>
  </conditionalFormatting>
  <conditionalFormatting sqref="M7:M33">
    <cfRule type="cellIs" priority="21" operator="equal" aboveAverage="0" equalAverage="0" bottom="0" percent="0" rank="0" text="" dxfId="18">
      <formula>"Ninguna"</formula>
    </cfRule>
  </conditionalFormatting>
  <conditionalFormatting sqref="B7:B33">
    <cfRule type="expression" priority="22" aboveAverage="0" equalAverage="0" bottom="0" percent="0" rank="0" text="" dxfId="23">
      <formula>AND($J7="Crítica",$I7&lt;&gt;"Acceso total (WiFi + Cable)",$B7&lt;&gt;"")</formula>
    </cfRule>
  </conditionalFormatting>
  <dataValidations count="5">
    <dataValidation allowBlank="true" error="Elija uno de los valores del desplegable (o amplíe la lista en la hoja «Listas»)." errorStyle="stop" errorTitle="Valor no válido" operator="between" prompt="Seleccione un valor de la lista desplegable." promptTitle="Estado de la prueba" showDropDown="false" showErrorMessage="true" showInputMessage="true" sqref="F7:F33" type="list">
      <formula1>lst_Estado</formula1>
      <formula2>0</formula2>
    </dataValidation>
    <dataValidation allowBlank="true" error="Elija uno de los valores del desplegable (o amplíe la lista en la hoja «Listas»)." errorStyle="stop" errorTitle="Valor no válido" operator="between" prompt="OK = con acceso · KO = sin acceso · No probado · N/A = no aplica." promptTitle="Resultado de la conexión" showDropDown="false" showErrorMessage="true" showInputMessage="true" sqref="G7:H33" type="list">
      <formula1>lst_Conexion</formula1>
      <formula2>0</formula2>
    </dataValidation>
    <dataValidation allowBlank="true" error="Elija uno de los valores del desplegable (o amplíe la lista en la hoja «Listas»)." errorStyle="stop" errorTitle="Valor no válido" operator="between" prompt="Impacto en el negocio si el sistema no está disponible." promptTitle="Criticidad" showDropDown="false" showErrorMessage="true" showInputMessage="true" sqref="J7:J33" type="list">
      <formula1>lst_Criticidad</formula1>
      <formula2>0</formula2>
    </dataValidation>
    <dataValidation allowBlank="true" error="Elija uno de los valores del desplegable (o amplíe la lista en la hoja «Listas»)." errorStyle="stop" errorTitle="Valor no válido" operator="between" prompt="Siguiente paso para desbloquear o completar la prueba." promptTitle="Próxima acción" showDropDown="false" showErrorMessage="true" showInputMessage="true" sqref="M7:M33" type="list">
      <formula1>lst_Accion</formula1>
      <formula2>0</formula2>
    </dataValidation>
    <dataValidation allowBlank="true" error="Introduzca una fecha válida (DD/MM/AAAA)." errorStyle="stop" errorTitle="Fecha no válida" operator="greaterThan" prompt="Formato DD/MM/AAAA." promptTitle="Fecha de prueba" showDropDown="false" showErrorMessage="true" showInputMessage="true" sqref="L7:L33" type="date">
      <formula1>DATE(2000,1,1)</formula1>
      <formula2>0</formula2>
    </dataValidation>
  </dataValidations>
  <hyperlinks>
    <hyperlink ref="E8" r:id="rId2" display="https://ipstorefront.ipaper.com/"/>
    <hyperlink ref="E9" r:id="rId3" display="http://ub99sagep03:8124/auth/login/page"/>
    <hyperlink ref="E10" r:id="rId4" display="https://ipapercloud.sharepoint.com/"/>
    <hyperlink ref="E11" r:id="rId5" display="https://apps.powerapps.com/"/>
    <hyperlink ref="E12" r:id="rId6" display="https://miacceso.e-factura.net/"/>
    <hyperlink ref="E15" r:id="rId7" display="https://myaccess.ipaper.com/"/>
    <hyperlink ref="E16" r:id="rId8" display="https://ocr.emea.ipaper.com/"/>
    <hyperlink ref="E17" r:id="rId9" display="https://ecm.emea.ipaper.com/"/>
    <hyperlink ref="E18" r:id="rId10" display="https://ap.xelix.com/login"/>
    <hyperlink ref="E20" r:id="rId11" display="https://apupload.ipaper.com/"/>
    <hyperlink ref="E21" r:id="rId12" display="https://bi.ipaper.com/BOE/BI/logonNoSso.jsp"/>
    <hyperlink ref="E22" r:id="rId13" display="http://s02afnbgp03.na.ipaper.com/P8LoadViewe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4"/>
  <legacy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7B4"/>
    <pageSetUpPr fitToPage="tru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26"/>
  </cols>
  <sheetData>
    <row r="2" customFormat="false" ht="25.5" hidden="false" customHeight="true" outlineLevel="0" collapsed="false">
      <c r="B2" s="78" t="s">
        <v>140</v>
      </c>
      <c r="C2" s="78"/>
      <c r="D2" s="78"/>
      <c r="E2" s="78"/>
      <c r="F2" s="78"/>
    </row>
    <row r="3" customFormat="false" ht="18" hidden="false" customHeight="true" outlineLevel="0" collapsed="false">
      <c r="B3" s="27" t="s">
        <v>141</v>
      </c>
      <c r="C3" s="27"/>
      <c r="D3" s="27"/>
      <c r="E3" s="27"/>
      <c r="F3" s="27"/>
    </row>
    <row r="5" customFormat="false" ht="30" hidden="false" customHeight="true" outlineLevel="0" collapsed="false">
      <c r="B5" s="79" t="s">
        <v>59</v>
      </c>
      <c r="C5" s="79" t="s">
        <v>33</v>
      </c>
      <c r="D5" s="79" t="s">
        <v>142</v>
      </c>
      <c r="E5" s="79" t="s">
        <v>62</v>
      </c>
      <c r="F5" s="79" t="s">
        <v>143</v>
      </c>
    </row>
    <row r="6" customFormat="false" ht="15" hidden="false" customHeight="false" outlineLevel="0" collapsed="false">
      <c r="B6" s="80" t="s">
        <v>69</v>
      </c>
      <c r="C6" s="80" t="s">
        <v>35</v>
      </c>
      <c r="D6" s="80" t="s">
        <v>77</v>
      </c>
      <c r="E6" s="80" t="s">
        <v>71</v>
      </c>
      <c r="F6" s="80" t="s">
        <v>14</v>
      </c>
    </row>
    <row r="7" customFormat="false" ht="15" hidden="false" customHeight="false" outlineLevel="0" collapsed="false">
      <c r="B7" s="81" t="s">
        <v>98</v>
      </c>
      <c r="C7" s="81" t="s">
        <v>36</v>
      </c>
      <c r="D7" s="81" t="s">
        <v>78</v>
      </c>
      <c r="E7" s="81" t="s">
        <v>83</v>
      </c>
      <c r="F7" s="81" t="s">
        <v>15</v>
      </c>
    </row>
    <row r="8" customFormat="false" ht="15" hidden="false" customHeight="false" outlineLevel="0" collapsed="false">
      <c r="B8" s="80" t="s">
        <v>144</v>
      </c>
      <c r="C8" s="80" t="s">
        <v>37</v>
      </c>
      <c r="D8" s="80" t="s">
        <v>70</v>
      </c>
      <c r="E8" s="80" t="s">
        <v>88</v>
      </c>
      <c r="F8" s="80" t="s">
        <v>16</v>
      </c>
    </row>
    <row r="9" customFormat="false" ht="15" hidden="false" customHeight="false" outlineLevel="0" collapsed="false">
      <c r="B9" s="81" t="s">
        <v>76</v>
      </c>
      <c r="C9" s="81" t="s">
        <v>38</v>
      </c>
      <c r="D9" s="81" t="s">
        <v>145</v>
      </c>
      <c r="E9" s="81" t="s">
        <v>146</v>
      </c>
      <c r="F9" s="81" t="s">
        <v>17</v>
      </c>
    </row>
    <row r="10" customFormat="false" ht="15" hidden="false" customHeight="false" outlineLevel="0" collapsed="false">
      <c r="B10" s="80" t="s">
        <v>19</v>
      </c>
      <c r="C10" s="80" t="s">
        <v>39</v>
      </c>
      <c r="F10" s="80" t="s">
        <v>18</v>
      </c>
    </row>
    <row r="11" customFormat="false" ht="15" hidden="false" customHeight="false" outlineLevel="0" collapsed="false">
      <c r="C11" s="81" t="s">
        <v>40</v>
      </c>
      <c r="F11" s="81" t="s">
        <v>19</v>
      </c>
    </row>
    <row r="12" customFormat="false" ht="15" hidden="false" customHeight="false" outlineLevel="0" collapsed="false">
      <c r="C12" s="80" t="s">
        <v>41</v>
      </c>
    </row>
    <row r="13" customFormat="false" ht="15" hidden="false" customHeight="false" outlineLevel="0" collapsed="false">
      <c r="C13" s="81" t="s">
        <v>42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2026-08-12T13:29:56Z</dcterms:created>
  <dc:creator>Seguimiento SAP E01</dc:creator>
  <dc:description/>
  <dc:language>en-US</dc:language>
  <cp:lastModifiedBy/>
  <dcterms:modified xsi:type="dcterms:W3CDTF">2026-08-12T13:29:58Z</dcterms:modified>
  <cp:revision>1</cp:revision>
  <dc:subject>Validación de conectividad WiFi vs. cable Ethernet</dc:subject>
  <dc:title>SAP E01 — Seguimiento de pruebas de acceso a sistemas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