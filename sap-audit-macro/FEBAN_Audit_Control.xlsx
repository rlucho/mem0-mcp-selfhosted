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2"/>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DRY RUN walks every screen and logs what it would export, without exporting. EXTRACT performs the exports. Always complete one clean DRY RUN first.</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this type are taken from the Payment Usage list and fed to FBL1N. ZP is the SAP standard for a payment document.</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list amount column</t>
        </is>
      </c>
      <c r="C33" s="11" t="inlineStr"/>
      <c r="D33" s="12" t="inlineStr">
        <is>
          <t>Santander SCF route only. Caption of the amount column in the exported list of invoices behind an SCF payment. Blank falls back to a built-in list of captions.</t>
        </is>
      </c>
    </row>
    <row r="34">
      <c r="B34" s="10" t="inlineStr">
        <is>
          <t>Invoice list supplier column</t>
        </is>
      </c>
      <c r="C34" s="11" t="inlineStr"/>
      <c r="D34" s="12" t="inlineStr">
        <is>
          <t>Caption of the supplier column in that same file.</t>
        </is>
      </c>
    </row>
    <row r="35">
      <c r="B35" s="10" t="inlineStr">
        <is>
          <t>Invoice list document column</t>
        </is>
      </c>
      <c r="C35" s="11" t="inlineStr"/>
      <c r="D35" s="12" t="inlineStr">
        <is>
          <t>Caption of the invoice-number column in that same file.</t>
        </is>
      </c>
    </row>
    <row r="36">
      <c r="B36" s="10" t="inlineStr">
        <is>
          <t>Extra popup titles to allow</t>
        </is>
      </c>
      <c r="C36" s="11" t="inlineStr"/>
      <c r="D36"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7">
      <c r="B37" s="10" t="inlineStr">
        <is>
          <t>Operator name</t>
        </is>
      </c>
      <c r="C37" s="11" t="inlineStr"/>
      <c r="D37" s="12" t="inlineStr">
        <is>
          <t>Written into the log for the audit trail.</t>
        </is>
      </c>
    </row>
    <row r="40">
      <c r="B40" s="3" t="inlineStr">
        <is>
          <t>Progress (formulas over the Samples sheet)</t>
        </is>
      </c>
    </row>
    <row r="41">
      <c r="B41" s="14" t="inlineStr">
        <is>
          <t>Samples in the sheet</t>
        </is>
      </c>
      <c r="C41" s="15">
        <f>COUNTA(Samples!A5:A1000)</f>
        <v/>
      </c>
    </row>
    <row r="42">
      <c r="B42" s="14" t="inlineStr">
        <is>
          <t>Included in the next run</t>
        </is>
      </c>
      <c r="C42" s="15">
        <f>COUNTIF(Samples!P5:P1000,"Yes")+COUNTBLANK(Samples!P5:P60)</f>
        <v/>
      </c>
    </row>
    <row r="43">
      <c r="B43" s="14" t="inlineStr">
        <is>
          <t>Excluded</t>
        </is>
      </c>
      <c r="C43" s="15">
        <f>COUNTIF(Samples!P5:P1000,"No")</f>
        <v/>
      </c>
    </row>
    <row r="44">
      <c r="B44" s="14" t="inlineStr">
        <is>
          <t>DONE -- invoice downloaded</t>
        </is>
      </c>
      <c r="C44" s="15">
        <f>COUNTIF(Samples!J5:J1000,"DONE")</f>
        <v/>
      </c>
    </row>
    <row r="45">
      <c r="B45" s="14" t="inlineStr">
        <is>
          <t>BLOCKED_FBL1N -- steps 8-9 not mapped yet</t>
        </is>
      </c>
      <c r="C45" s="15">
        <f>COUNTIF(Samples!J5:J1000,"BLOCKED_FBL1N")</f>
        <v/>
      </c>
    </row>
    <row r="46">
      <c r="B46" s="14" t="inlineStr">
        <is>
          <t>BLOCKED_SCF -- Santander, needs the extra hop</t>
        </is>
      </c>
      <c r="C46" s="15">
        <f>COUNTIF(Samples!J5:J1000,"BLOCKED_SCF")</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NOT FOUND -- no matching statement line</t>
        </is>
      </c>
      <c r="C49" s="15">
        <f>COUNTIF(Samples!J5:J1000,"NOT FOUND")</f>
        <v/>
      </c>
    </row>
    <row r="50">
      <c r="B50" s="14" t="inlineStr">
        <is>
          <t>AMBIGUOUS -- more than one line matched</t>
        </is>
      </c>
      <c r="C50" s="15">
        <f>COUNTIF(Samples!J5:J1000,"AMBIGUOUS")</f>
        <v/>
      </c>
    </row>
    <row r="51">
      <c r="B51" s="14" t="inlineStr">
        <is>
          <t>ERROR</t>
        </is>
      </c>
      <c r="C51" s="15">
        <f>COUNTIF(Samples!J5:J1000,"ERROR")</f>
        <v/>
      </c>
    </row>
    <row r="52">
      <c r="B52" s="14" t="inlineStr">
        <is>
          <t>Not started</t>
        </is>
      </c>
      <c r="C52" s="15">
        <f>COUNTBLANK(Samples!J5:J60)</f>
        <v/>
      </c>
    </row>
    <row r="53">
      <c r="B53" s="14" t="inlineStr">
        <is>
          <t>Files downloaded</t>
        </is>
      </c>
      <c r="C53" s="15">
        <f>SUM(Samples!N5:N1000)</f>
        <v/>
      </c>
    </row>
    <row r="54">
      <c r="B54" s="14" t="inlineStr">
        <is>
          <t>Samples with no named beneficiary in the request</t>
        </is>
      </c>
      <c r="C54" s="15">
        <f>COUNTIF(Samples!I5:I1000,"*no_named_beneficiary*")</f>
        <v/>
      </c>
    </row>
    <row r="55">
      <c r="B55" s="14" t="inlineStr">
        <is>
          <t>Samples the request already names as SANTANDER SCF</t>
        </is>
      </c>
      <c r="C55" s="15">
        <f>COUNTIF(Samples!G5:G1000,"*SANTANDER*")</f>
        <v/>
      </c>
    </row>
    <row r="58">
      <c r="B58" s="3" t="inlineStr">
        <is>
          <t>Assumptions baked into this workbook</t>
        </is>
      </c>
    </row>
    <row r="59" ht="28" customHeight="1">
      <c r="B59" s="14" t="inlineStr">
        <is>
          <t>1.</t>
        </is>
      </c>
      <c r="C59" s="16" t="inlineStr">
        <is>
          <t>Company code GBKM and the FEBAN transaction are taken from the requester's instruction, not from the auditor's workbook, which names neither.</t>
        </is>
      </c>
    </row>
    <row r="60" ht="28" customHeight="1">
      <c r="B60" s="14" t="inlineStr">
        <is>
          <t>2.</t>
        </is>
      </c>
      <c r="C60" s="16" t="inlineStr">
        <is>
          <t>The FEBAN statement-date range for each sample is the first to the last calendar day of the month containing that sample's payment date (column C and D formulas on 'Samples').</t>
        </is>
      </c>
    </row>
    <row r="61" ht="28" customHeight="1">
      <c r="B61" s="14" t="inlineStr">
        <is>
          <t>3.</t>
        </is>
      </c>
      <c r="C61" s="16" t="inlineStr">
        <is>
          <t>Sample amounts are stored as positive numbers. The auditor's workbook shows them unsigned even where the bank statement shows a debit.</t>
        </is>
      </c>
    </row>
    <row r="62" ht="28" customHeight="1">
      <c r="B62" s="14" t="inlineStr">
        <is>
          <t>4.</t>
        </is>
      </c>
      <c r="C62" s="16" t="inlineStr">
        <is>
          <t>Source of the sample list: 'Paper Samples' sheet, rows 5-60, of Samples_Paper_SURL260716_152455.962.xlsx as supplied by the auditor.</t>
        </is>
      </c>
    </row>
  </sheetData>
  <mergeCells count="4">
    <mergeCell ref="C60:D60"/>
    <mergeCell ref="C61:D61"/>
    <mergeCell ref="C62:D62"/>
    <mergeCell ref="C59:D59"/>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66"/>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Posting status column. VERIFY</t>
        </is>
      </c>
      <c r="D19" s="24" t="inlineStr">
        <is>
          <t>VERIFY</t>
        </is>
      </c>
      <c r="E19" s="22" t="inlineStr">
        <is>
          <t>No</t>
        </is>
      </c>
      <c r="F19" s="23" t="inlineStr">
        <is>
          <t>ESTAT</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Bank reference / note-to-payee, logged as context. VERIFY</t>
        </is>
      </c>
      <c r="D21" s="24" t="inlineStr">
        <is>
          <t>VERIFY</t>
        </is>
      </c>
      <c r="E21" s="22" t="inlineStr">
        <is>
          <t>No</t>
        </is>
      </c>
      <c r="F21" s="23" t="inlineStr">
        <is>
          <t>SGTXT</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18" t="inlineStr">
        <is>
          <t>Step 6: Environment &gt; Payment Usage</t>
        </is>
      </c>
      <c r="C34" s="19" t="n"/>
      <c r="D34" s="19" t="n"/>
      <c r="E34" s="19" t="n"/>
      <c r="F34" s="19" t="n"/>
    </row>
    <row r="35">
      <c r="B35" s="20" t="inlineStr">
        <is>
          <t>PaymentUsage.Menu</t>
        </is>
      </c>
      <c r="C35" s="12" t="inlineStr">
        <is>
          <t>Menu path to the batch's payment documents. Confirmed in all four recordings</t>
        </is>
      </c>
      <c r="D35" s="21" t="inlineStr">
        <is>
          <t>recorded</t>
        </is>
      </c>
      <c r="E35" s="22" t="inlineStr">
        <is>
          <t>Yes</t>
        </is>
      </c>
      <c r="F35" s="23" t="inlineStr">
        <is>
          <t>wnd[0]/mbar/menu[5]/menu[3]</t>
        </is>
      </c>
    </row>
    <row r="36">
      <c r="B36" s="20" t="inlineStr">
        <is>
          <t>PaymentUsage.ListAnchor</t>
        </is>
      </c>
      <c r="C36" s="12" t="inlineStr">
        <is>
          <t>An element that exists on that list, used only to confirm the menu landed. Clear it to skip the check</t>
        </is>
      </c>
      <c r="D36" s="21" t="inlineStr">
        <is>
          <t>recorded</t>
        </is>
      </c>
      <c r="E36" s="22" t="inlineStr">
        <is>
          <t>No</t>
        </is>
      </c>
      <c r="F36" s="23" t="inlineStr">
        <is>
          <t>wnd[0]/usr/chk[1,6]</t>
        </is>
      </c>
    </row>
    <row r="37">
      <c r="B37" s="18" t="inlineStr">
        <is>
          <t>Step 7: classic list export (List &gt; Save/Send &gt; File)</t>
        </is>
      </c>
      <c r="C37" s="19" t="n"/>
      <c r="D37" s="19" t="n"/>
      <c r="E37" s="19" t="n"/>
      <c r="F37" s="19" t="n"/>
    </row>
    <row r="38">
      <c r="B38" s="20" t="inlineStr">
        <is>
          <t>Export.ListMenu</t>
        </is>
      </c>
      <c r="C38" s="12" t="inlineStr">
        <is>
          <t>Menu path that opens the save-list dialog</t>
        </is>
      </c>
      <c r="D38" s="21" t="inlineStr">
        <is>
          <t>recorded</t>
        </is>
      </c>
      <c r="E38" s="22" t="inlineStr">
        <is>
          <t>Yes</t>
        </is>
      </c>
      <c r="F38" s="23" t="inlineStr">
        <is>
          <t>wnd[0]/mbar/menu[0]/menu[3]/menu[1]</t>
        </is>
      </c>
    </row>
    <row r="39">
      <c r="B39" s="20" t="inlineStr">
        <is>
          <t>Export.FormatOkButton</t>
        </is>
      </c>
      <c r="C39" s="12" t="inlineStr">
        <is>
          <t>Confirm the file-format popup</t>
        </is>
      </c>
      <c r="D39" s="21" t="inlineStr">
        <is>
          <t>recorded</t>
        </is>
      </c>
      <c r="E39" s="22" t="inlineStr">
        <is>
          <t>Yes</t>
        </is>
      </c>
      <c r="F39" s="23" t="inlineStr">
        <is>
          <t>wnd[1]/tbar[0]/btn[0]</t>
        </is>
      </c>
    </row>
    <row r="40">
      <c r="B40" s="20" t="inlineStr">
        <is>
          <t>Save.Path</t>
        </is>
      </c>
      <c r="C40" s="12" t="inlineStr">
        <is>
          <t>Directory field</t>
        </is>
      </c>
      <c r="D40" s="21" t="inlineStr">
        <is>
          <t>recorded</t>
        </is>
      </c>
      <c r="E40" s="22" t="inlineStr">
        <is>
          <t>Yes</t>
        </is>
      </c>
      <c r="F40" s="23" t="inlineStr">
        <is>
          <t>wnd[1]/usr/ctxtDY_PATH</t>
        </is>
      </c>
    </row>
    <row r="41">
      <c r="B41" s="20" t="inlineStr">
        <is>
          <t>Save.FileName</t>
        </is>
      </c>
      <c r="C41" s="12" t="inlineStr">
        <is>
          <t>File name field. Confirmed in Audit2.vbs and Audit5.vbs</t>
        </is>
      </c>
      <c r="D41" s="21" t="inlineStr">
        <is>
          <t>recorded</t>
        </is>
      </c>
      <c r="E41" s="22" t="inlineStr">
        <is>
          <t>Yes</t>
        </is>
      </c>
      <c r="F41" s="23" t="inlineStr">
        <is>
          <t>wnd[1]/usr/ctxtDY_FILENAME</t>
        </is>
      </c>
    </row>
    <row r="42">
      <c r="B42" s="20" t="inlineStr">
        <is>
          <t>Save.Encoding</t>
        </is>
      </c>
      <c r="C42" s="12" t="inlineStr">
        <is>
          <t>Encoding field, where present. VERIFY</t>
        </is>
      </c>
      <c r="D42" s="24" t="inlineStr">
        <is>
          <t>VERIFY</t>
        </is>
      </c>
      <c r="E42" s="22" t="inlineStr">
        <is>
          <t>No</t>
        </is>
      </c>
      <c r="F42" s="23" t="inlineStr">
        <is>
          <t>wnd[1]/usr/ctxtDY_FILE_ENCODING</t>
        </is>
      </c>
    </row>
    <row r="43">
      <c r="B43" s="20" t="inlineStr">
        <is>
          <t>Save.GenerateButton</t>
        </is>
      </c>
      <c r="C43" s="12" t="inlineStr">
        <is>
          <t>Confirm the save. btn[0], not btn[11]</t>
        </is>
      </c>
      <c r="D43" s="21" t="inlineStr">
        <is>
          <t>recorded</t>
        </is>
      </c>
      <c r="E43" s="22" t="inlineStr">
        <is>
          <t>Yes</t>
        </is>
      </c>
      <c r="F43" s="23" t="inlineStr">
        <is>
          <t>wnd[1]/tbar[0]/btn[0]</t>
        </is>
      </c>
    </row>
    <row r="44">
      <c r="B44" s="18" t="inlineStr">
        <is>
          <t>Steps 8-9: FBL1N, the ZP payments of the batch</t>
        </is>
      </c>
      <c r="C44" s="19" t="n"/>
      <c r="D44" s="19" t="n"/>
      <c r="E44" s="19" t="n"/>
      <c r="F44" s="19" t="n"/>
    </row>
    <row r="45">
      <c r="B45" s="20" t="inlineStr">
        <is>
          <t>Fbl1n.AllItemsRadio</t>
        </is>
      </c>
      <c r="C45" s="12" t="inlineStr">
        <is>
          <t>'All items' radio</t>
        </is>
      </c>
      <c r="D45" s="21" t="inlineStr">
        <is>
          <t>recorded</t>
        </is>
      </c>
      <c r="E45" s="22" t="inlineStr">
        <is>
          <t>No</t>
        </is>
      </c>
      <c r="F45" s="23" t="inlineStr">
        <is>
          <t>wnd[0]/usr/radX_AISEL</t>
        </is>
      </c>
    </row>
    <row r="46">
      <c r="B46" s="20" t="inlineStr">
        <is>
          <t>Fbl1n.CompanyCode</t>
        </is>
      </c>
      <c r="C46" s="12" t="inlineStr">
        <is>
          <t>Company code. KD_BUKRS, not the DD_BUKRS that was predicted</t>
        </is>
      </c>
      <c r="D46" s="21" t="inlineStr">
        <is>
          <t>recorded</t>
        </is>
      </c>
      <c r="E46" s="22" t="inlineStr">
        <is>
          <t>No</t>
        </is>
      </c>
      <c r="F46" s="23" t="inlineStr">
        <is>
          <t>wnd[0]/usr/ctxtKD_BUKRS-LOW</t>
        </is>
      </c>
    </row>
    <row r="47">
      <c r="B47" s="20" t="inlineStr">
        <is>
          <t>Fbl1n.PostingDateFrom</t>
        </is>
      </c>
      <c r="C47" s="12" t="inlineStr">
        <is>
          <t>Posting date, low</t>
        </is>
      </c>
      <c r="D47" s="21" t="inlineStr">
        <is>
          <t>recorded</t>
        </is>
      </c>
      <c r="E47" s="22" t="inlineStr">
        <is>
          <t>No</t>
        </is>
      </c>
      <c r="F47" s="23" t="inlineStr">
        <is>
          <t>wnd[0]/usr/ctxtSO_BUDAT-LOW</t>
        </is>
      </c>
    </row>
    <row r="48">
      <c r="B48" s="20" t="inlineStr">
        <is>
          <t>Fbl1n.PostingDateTo</t>
        </is>
      </c>
      <c r="C48" s="12" t="inlineStr">
        <is>
          <t>Posting date, high</t>
        </is>
      </c>
      <c r="D48" s="21" t="inlineStr">
        <is>
          <t>recorded</t>
        </is>
      </c>
      <c r="E48" s="22" t="inlineStr">
        <is>
          <t>No</t>
        </is>
      </c>
      <c r="F48" s="23" t="inlineStr">
        <is>
          <t>wnd[0]/usr/ctxtSO_BUDAT-HIGH</t>
        </is>
      </c>
    </row>
    <row r="49">
      <c r="B49" s="20" t="inlineStr">
        <is>
          <t>Fbl1n.DynamicSelections</t>
        </is>
      </c>
      <c r="C49" s="12" t="inlineStr">
        <is>
          <t>Opens the dynamic-selections block. The document number is NOT on the main selection screen -- it lives in dynamic selections, so this has to be pressed before the field below exists</t>
        </is>
      </c>
      <c r="D49" s="21" t="inlineStr">
        <is>
          <t>recorded</t>
        </is>
      </c>
      <c r="E49" s="22" t="inlineStr">
        <is>
          <t>No</t>
        </is>
      </c>
      <c r="F49" s="23" t="inlineStr">
        <is>
          <t>wnd[0]/tbar[1]/btn[16]</t>
        </is>
      </c>
    </row>
    <row r="50" ht="30" customHeight="1">
      <c r="B50" s="20" t="inlineStr">
        <is>
          <t>Fbl1n.DocNumberMultiSelect</t>
        </is>
      </c>
      <c r="C50" s="12" t="inlineStr">
        <is>
          <t>Multiple-selection arrow for document number, inside the dynamic-selections subscreen</t>
        </is>
      </c>
      <c r="D50" s="21" t="inlineStr">
        <is>
          <t>recorded</t>
        </is>
      </c>
      <c r="E50" s="22" t="inlineStr">
        <is>
          <t>No</t>
        </is>
      </c>
      <c r="F50" s="23" t="inlineStr">
        <is>
          <t>wnd[0]/usr/ssub%_SUBSCREEN_%_SUB%_CONTAINER:SAPLSSEL:2001/ssubSUBSCREEN_CONTAINER2:SAPLSSEL:2000/ssubSUBSCREEN_CONTAINER:SAPLSSEL:1106/btn%_%%DYN011_%_APP_%-VALU_PUSH</t>
        </is>
      </c>
    </row>
    <row r="51">
      <c r="B51" s="20" t="inlineStr">
        <is>
          <t>MultiSel.PasteFromClipboard</t>
        </is>
      </c>
      <c r="C51" s="12" t="inlineStr">
        <is>
          <t>'Upload from clipboard' on the multiple-selection dialog</t>
        </is>
      </c>
      <c r="D51" s="21" t="inlineStr">
        <is>
          <t>recorded</t>
        </is>
      </c>
      <c r="E51" s="22" t="inlineStr">
        <is>
          <t>No</t>
        </is>
      </c>
      <c r="F51" s="23" t="inlineStr">
        <is>
          <t>wnd[1]/tbar[0]/btn[24]</t>
        </is>
      </c>
    </row>
    <row r="52">
      <c r="B52" s="20" t="inlineStr">
        <is>
          <t>MultiSel.Confirm</t>
        </is>
      </c>
      <c r="C52" s="12" t="inlineStr">
        <is>
          <t>Copy on that dialog</t>
        </is>
      </c>
      <c r="D52" s="21" t="inlineStr">
        <is>
          <t>recorded</t>
        </is>
      </c>
      <c r="E52" s="22" t="inlineStr">
        <is>
          <t>No</t>
        </is>
      </c>
      <c r="F52" s="23" t="inlineStr">
        <is>
          <t>wnd[1]/tbar[0]/btn[8]</t>
        </is>
      </c>
    </row>
    <row r="53">
      <c r="B53" s="20" t="inlineStr">
        <is>
          <t>Fbl1n.ExecuteButton</t>
        </is>
      </c>
      <c r="C53" s="12" t="inlineStr">
        <is>
          <t>Execute</t>
        </is>
      </c>
      <c r="D53" s="21" t="inlineStr">
        <is>
          <t>recorded</t>
        </is>
      </c>
      <c r="E53" s="22" t="inlineStr">
        <is>
          <t>No</t>
        </is>
      </c>
      <c r="F53" s="23" t="inlineStr">
        <is>
          <t>wnd[0]/tbar[1]/btn[8]</t>
        </is>
      </c>
    </row>
    <row r="54">
      <c r="B54" s="20" t="inlineStr">
        <is>
          <t>Fbl1n.ResultAnchor</t>
        </is>
      </c>
      <c r="C54" s="12" t="inlineStr">
        <is>
          <t>Confirms the FBL1N result came up. NOTE: FBL1N renders as a CLASSIC LIST here (lbl[x,y]), not an ALV grid, so there is no grid to read -- the list is exported and read back instead. VERIFY</t>
        </is>
      </c>
      <c r="D54" s="24" t="inlineStr">
        <is>
          <t>VERIFY</t>
        </is>
      </c>
      <c r="E54" s="22" t="inlineStr">
        <is>
          <t>No</t>
        </is>
      </c>
      <c r="F54" s="23" t="inlineStr">
        <is>
          <t>wnd[0]/usr/lbl[164,8]</t>
        </is>
      </c>
    </row>
    <row r="55">
      <c r="B55" s="18" t="inlineStr">
        <is>
          <t>Step 10: the largest payment's invoices, and the PDF</t>
        </is>
      </c>
      <c r="C55" s="19" t="n"/>
      <c r="D55" s="19" t="n"/>
      <c r="E55" s="19" t="n"/>
      <c r="F55" s="19" t="n"/>
    </row>
    <row r="56">
      <c r="B56" s="20" t="inlineStr">
        <is>
          <t>Payment.UsageMenu</t>
        </is>
      </c>
      <c r="C56" s="12" t="inlineStr">
        <is>
          <t>Environment &gt; Payment usage from inside the payment document. menu[4] here, not the menu[5] used from the clearing document -- menu indices differ per screen. VERIFY</t>
        </is>
      </c>
      <c r="D56" s="24" t="inlineStr">
        <is>
          <t>VERIFY</t>
        </is>
      </c>
      <c r="E56" s="22" t="inlineStr">
        <is>
          <t>No</t>
        </is>
      </c>
      <c r="F56" s="23" t="inlineStr">
        <is>
          <t>wnd[0]/mbar/menu[4]/menu[3]</t>
        </is>
      </c>
    </row>
    <row r="57">
      <c r="B57" s="20" t="inlineStr">
        <is>
          <t>Invoice.GosToolbox</t>
        </is>
      </c>
      <c r="C57" s="12" t="inlineStr">
        <is>
          <t>Services-for-object toolbox. shellcont[2], not the plain shellcont that was predicted</t>
        </is>
      </c>
      <c r="D57" s="21" t="inlineStr">
        <is>
          <t>recorded</t>
        </is>
      </c>
      <c r="E57" s="22" t="inlineStr">
        <is>
          <t>No</t>
        </is>
      </c>
      <c r="F57" s="23" t="inlineStr">
        <is>
          <t>wnd[0]/titl/shellcont[2]/shell</t>
        </is>
      </c>
    </row>
    <row r="58">
      <c r="B58" s="20" t="inlineStr">
        <is>
          <t>Invoice.AttachListGrid</t>
        </is>
      </c>
      <c r="C58" s="12" t="inlineStr">
        <is>
          <t>Attachment-list grid. CONTAINER_0100</t>
        </is>
      </c>
      <c r="D58" s="21" t="inlineStr">
        <is>
          <t>recorded</t>
        </is>
      </c>
      <c r="E58" s="22" t="inlineStr">
        <is>
          <t>No</t>
        </is>
      </c>
      <c r="F58" s="23" t="inlineStr">
        <is>
          <t>wnd[1]/usr/cntlCONTAINER_0100/shellcont/shell</t>
        </is>
      </c>
    </row>
    <row r="59">
      <c r="B59" s="20" t="inlineStr">
        <is>
          <t>Invoice.AttachListColumn</t>
        </is>
      </c>
      <c r="C59" s="12" t="inlineStr">
        <is>
          <t>Column used to select the attachment row</t>
        </is>
      </c>
      <c r="D59" s="21" t="inlineStr">
        <is>
          <t>recorded</t>
        </is>
      </c>
      <c r="E59" s="22" t="inlineStr">
        <is>
          <t>No</t>
        </is>
      </c>
      <c r="F59" s="23" t="inlineStr">
        <is>
          <t>BITM_DESCR</t>
        </is>
      </c>
    </row>
    <row r="60">
      <c r="B60" s="20" t="inlineStr">
        <is>
          <t>Invoice.ExportMenuItem</t>
        </is>
      </c>
      <c r="C60" s="12" t="inlineStr">
        <is>
          <t>Context-menu entry that saves the attachment. A CONTEXT MENU item, not the toolbar button that was predicted</t>
        </is>
      </c>
      <c r="D60" s="21" t="inlineStr">
        <is>
          <t>recorded</t>
        </is>
      </c>
      <c r="E60" s="22" t="inlineStr">
        <is>
          <t>No</t>
        </is>
      </c>
      <c r="F60" s="23" t="inlineStr">
        <is>
          <t>%ATTA_EXPORT</t>
        </is>
      </c>
    </row>
    <row r="61">
      <c r="B61" s="20" t="inlineStr">
        <is>
          <t>Invoice.SaveWindow</t>
        </is>
      </c>
      <c r="C61" s="12" t="inlineStr">
        <is>
          <t>Window the PDF save dialog opens in. wnd[2], because the attachment list is already wnd[1]</t>
        </is>
      </c>
      <c r="D61" s="21" t="inlineStr">
        <is>
          <t>recorded</t>
        </is>
      </c>
      <c r="E61" s="22" t="inlineStr">
        <is>
          <t>No</t>
        </is>
      </c>
      <c r="F61" s="23" t="inlineStr">
        <is>
          <t>wnd[2]</t>
        </is>
      </c>
    </row>
    <row r="62">
      <c r="B62" s="20" t="inlineStr">
        <is>
          <t>Invoice.CloseAttachList</t>
        </is>
      </c>
      <c r="C62" s="12" t="inlineStr">
        <is>
          <t>Closes the attachment list afterwards</t>
        </is>
      </c>
      <c r="D62" s="21" t="inlineStr">
        <is>
          <t>recorded</t>
        </is>
      </c>
      <c r="E62" s="22" t="inlineStr">
        <is>
          <t>No</t>
        </is>
      </c>
      <c r="F62" s="23" t="inlineStr">
        <is>
          <t>wnd[1]/tbar[0]/btn[0]</t>
        </is>
      </c>
    </row>
    <row r="64" ht="30" customHeight="1">
      <c r="B64" s="16" t="inlineStr">
        <is>
          <t>The macro reads column F only. A blank 'Required = Yes' row aborts the run with a message naming the missing key, rather than guessing at an ID.</t>
        </is>
      </c>
    </row>
    <row r="65" ht="30" customHeight="1">
      <c r="B65" s="16" t="inlineStr">
        <is>
          <t>FEBAN's selection screen is a modal popup on this system (wnd[1]), not a full screen. That is why FEBAN.SelectionWindow exists -- the macro has to know which window to press Execute in.</t>
        </is>
      </c>
    </row>
    <row r="66" ht="30" customHeight="1">
      <c r="B66" s="16" t="inlineStr">
        <is>
          <t>The recording entered dates as 8 digits with no separators (01092025). The Control sheet's 'SAP date format' is set to DDMMYYYY to match. Do not change it to DMY unless you have checked that this system accepts 01.09.2025 as well.</t>
        </is>
      </c>
    </row>
  </sheetData>
  <mergeCells count="14">
    <mergeCell ref="B44:F44"/>
    <mergeCell ref="B65:F65"/>
    <mergeCell ref="B55:F55"/>
    <mergeCell ref="B6:F6"/>
    <mergeCell ref="B34:F34"/>
    <mergeCell ref="B15:F15"/>
    <mergeCell ref="B64:F64"/>
    <mergeCell ref="B28:F28"/>
    <mergeCell ref="B3:F3"/>
    <mergeCell ref="B37:F37"/>
    <mergeCell ref="B66:F66"/>
    <mergeCell ref="B22:F22"/>
    <mergeCell ref="B32:F32"/>
    <mergeCell ref="B26:F26"/>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2026-07-30T13:57:53Z</dcterms:created>
  <dcterms:modified xsi:type="dcterms:W3CDTF">2026-07-30T13:57:53Z</dcterms:modified>
</cp:coreProperties>
</file>