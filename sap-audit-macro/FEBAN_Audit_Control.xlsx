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5"/>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attachment title contains</t>
        </is>
      </c>
      <c r="C33" s="11" t="inlineStr">
        <is>
          <t>Invoice</t>
        </is>
      </c>
      <c r="D33" s="12" t="inlineStr">
        <is>
          <t>An invoice document carries more than one attachment -- on this system the workflow notes sit above the document itself -- so the row whose text contains this word is the one downloaded. The titles come from the archiving system rather than from SAP, so they do not follow the SAP logon language. Nothing matching takes the last row and says so in the Log, naming every attachment it saw.</t>
        </is>
      </c>
    </row>
    <row r="34">
      <c r="B34" s="10" t="inlineStr">
        <is>
          <t>Invoice document type</t>
        </is>
      </c>
      <c r="C34" s="11" t="inlineStr">
        <is>
          <t>KR, RN</t>
        </is>
      </c>
      <c r="D34"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35">
      <c r="B35" s="10" t="inlineStr">
        <is>
          <t>Invoice list amount column</t>
        </is>
      </c>
      <c r="C35" s="11" t="inlineStr"/>
      <c r="D35" s="12" t="inlineStr">
        <is>
          <t>Santander SCF route only. Caption of the amount column in the exported list of invoices behind an SCF payment. Blank falls back to a built-in list of captions.</t>
        </is>
      </c>
    </row>
    <row r="36">
      <c r="B36" s="10" t="inlineStr">
        <is>
          <t>Invoice list supplier column</t>
        </is>
      </c>
      <c r="C36" s="11" t="inlineStr"/>
      <c r="D36" s="12" t="inlineStr">
        <is>
          <t>Caption of the supplier column in that same file.</t>
        </is>
      </c>
    </row>
    <row r="37">
      <c r="B37" s="10" t="inlineStr">
        <is>
          <t>Invoice list document column</t>
        </is>
      </c>
      <c r="C37" s="11" t="inlineStr"/>
      <c r="D37" s="12" t="inlineStr">
        <is>
          <t>Caption of the invoice-number column in that same file.</t>
        </is>
      </c>
    </row>
    <row r="38">
      <c r="B38" s="10" t="inlineStr">
        <is>
          <t>Extra popup titles to allow</t>
        </is>
      </c>
      <c r="C38" s="11" t="inlineStr"/>
      <c r="D38"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9">
      <c r="B39" s="10" t="inlineStr">
        <is>
          <t>Operator name</t>
        </is>
      </c>
      <c r="C39" s="11" t="inlineStr"/>
      <c r="D39" s="12" t="inlineStr">
        <is>
          <t>Written into the log for the audit trail.</t>
        </is>
      </c>
    </row>
    <row r="42">
      <c r="B42" s="3" t="inlineStr">
        <is>
          <t>Progress (formulas over the Samples sheet)</t>
        </is>
      </c>
    </row>
    <row r="43">
      <c r="B43" s="14" t="inlineStr">
        <is>
          <t>Samples in the sheet</t>
        </is>
      </c>
      <c r="C43" s="15">
        <f>COUNTA(Samples!A5:A1000)</f>
        <v/>
      </c>
    </row>
    <row r="44">
      <c r="B44" s="14" t="inlineStr">
        <is>
          <t>Included in the next run</t>
        </is>
      </c>
      <c r="C44" s="15">
        <f>COUNTIF(Samples!P5:P1000,"Yes")+COUNTBLANK(Samples!P5:P60)</f>
        <v/>
      </c>
    </row>
    <row r="45">
      <c r="B45" s="14" t="inlineStr">
        <is>
          <t>Excluded</t>
        </is>
      </c>
      <c r="C45" s="15">
        <f>COUNTIF(Samples!P5:P1000,"No")</f>
        <v/>
      </c>
    </row>
    <row r="46">
      <c r="B46" s="14" t="inlineStr">
        <is>
          <t>DONE -- invoice downloaded</t>
        </is>
      </c>
      <c r="C46" s="15">
        <f>COUNTIF(Samples!J5:J1000,"DONE")</f>
        <v/>
      </c>
    </row>
    <row r="47">
      <c r="B47" s="14" t="inlineStr">
        <is>
          <t>BLOCKED_FBL1N -- steps 8-9 not mapped yet</t>
        </is>
      </c>
      <c r="C47" s="15">
        <f>COUNTIF(Samples!J5:J1000,"BLOCKED_FBL1N")</f>
        <v/>
      </c>
    </row>
    <row r="48">
      <c r="B48" s="14" t="inlineStr">
        <is>
          <t>BLOCKED_INVOICE -- reached the payment, no PDF</t>
        </is>
      </c>
      <c r="C48" s="15">
        <f>COUNTIF(Samples!J5:J1000,"BLOCKED_INVOICE")</f>
        <v/>
      </c>
    </row>
    <row r="49">
      <c r="B49" s="14" t="inlineStr">
        <is>
          <t>PARTIAL -- traced, no invoice file</t>
        </is>
      </c>
      <c r="C49" s="15">
        <f>COUNTIF(Samples!J5:J1000,"PARTIAL")</f>
        <v/>
      </c>
    </row>
    <row r="50">
      <c r="B50" s="14" t="inlineStr">
        <is>
          <t>NO CLEARING -- internal transfer, line items exported</t>
        </is>
      </c>
      <c r="C50" s="15">
        <f>COUNTIF(Samples!J5:J1000,"NO CLEARING")</f>
        <v/>
      </c>
    </row>
    <row r="51">
      <c r="B51" s="14" t="inlineStr">
        <is>
          <t>NOT FOUND -- no matching statement line</t>
        </is>
      </c>
      <c r="C51" s="15">
        <f>COUNTIF(Samples!J5:J1000,"NOT FOUND")</f>
        <v/>
      </c>
    </row>
    <row r="52">
      <c r="B52" s="14" t="inlineStr">
        <is>
          <t>AMBIGUOUS -- more than one line matched</t>
        </is>
      </c>
      <c r="C52" s="15">
        <f>COUNTIF(Samples!J5:J1000,"AMBIGUOUS")</f>
        <v/>
      </c>
    </row>
    <row r="53">
      <c r="B53" s="14" t="inlineStr">
        <is>
          <t>ERROR</t>
        </is>
      </c>
      <c r="C53" s="15">
        <f>COUNTIF(Samples!J5:J1000,"ERROR")</f>
        <v/>
      </c>
    </row>
    <row r="54">
      <c r="B54" s="14" t="inlineStr">
        <is>
          <t>Not started</t>
        </is>
      </c>
      <c r="C54" s="15">
        <f>COUNTBLANK(Samples!J5:J60)</f>
        <v/>
      </c>
    </row>
    <row r="55">
      <c r="B55" s="14" t="inlineStr">
        <is>
          <t>Files downloaded</t>
        </is>
      </c>
      <c r="C55" s="15">
        <f>SUM(Samples!N5:N1000)</f>
        <v/>
      </c>
    </row>
    <row r="56">
      <c r="B56" s="14" t="inlineStr">
        <is>
          <t>Samples with no named beneficiary in the request</t>
        </is>
      </c>
      <c r="C56" s="15">
        <f>COUNTIF(Samples!I5:I1000,"*no_named_beneficiary*")</f>
        <v/>
      </c>
    </row>
    <row r="57">
      <c r="B57" s="14" t="inlineStr">
        <is>
          <t>Reached a confirming (Santander SCF) payment</t>
        </is>
      </c>
      <c r="C57" s="15">
        <f>COUNTIF(Samples!O5:O1000,"*confirming party*")</f>
        <v/>
      </c>
    </row>
    <row r="58">
      <c r="B58" s="14" t="inlineStr">
        <is>
          <t>Samples the request already names as SANTANDER SCF</t>
        </is>
      </c>
      <c r="C58" s="15">
        <f>COUNTIF(Samples!G5:G1000,"*SANTANDER*")</f>
        <v/>
      </c>
    </row>
    <row r="61">
      <c r="B61" s="3" t="inlineStr">
        <is>
          <t>Assumptions baked into this workbook</t>
        </is>
      </c>
    </row>
    <row r="62" ht="28" customHeight="1">
      <c r="B62" s="14" t="inlineStr">
        <is>
          <t>1.</t>
        </is>
      </c>
      <c r="C62" s="16" t="inlineStr">
        <is>
          <t>Company code GBKM and the FEBAN transaction are taken from the requester's instruction, not from the auditor's workbook, which names neither.</t>
        </is>
      </c>
    </row>
    <row r="63" ht="28" customHeight="1">
      <c r="B63" s="14" t="inlineStr">
        <is>
          <t>2.</t>
        </is>
      </c>
      <c r="C63" s="16" t="inlineStr">
        <is>
          <t>The FEBAN statement-date range for each sample is the first to the last calendar day of the month containing that sample's payment date (column C and D formulas on 'Samples').</t>
        </is>
      </c>
    </row>
    <row r="64" ht="28" customHeight="1">
      <c r="B64" s="14" t="inlineStr">
        <is>
          <t>3.</t>
        </is>
      </c>
      <c r="C64" s="16" t="inlineStr">
        <is>
          <t>Sample amounts are stored as positive numbers. The auditor's workbook shows them unsigned even where the bank statement shows a debit.</t>
        </is>
      </c>
    </row>
    <row r="65" ht="28" customHeight="1">
      <c r="B65" s="14" t="inlineStr">
        <is>
          <t>4.</t>
        </is>
      </c>
      <c r="C65" s="16" t="inlineStr">
        <is>
          <t>Source of the sample list: 'Paper Samples' sheet, rows 5-60, of Samples_Paper_SURL260716_152455.962.xlsx as supplied by the auditor.</t>
        </is>
      </c>
    </row>
  </sheetData>
  <mergeCells count="4">
    <mergeCell ref="C65:D65"/>
    <mergeCell ref="C64:D64"/>
    <mergeCell ref="C63:D63"/>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S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 width="30" customWidth="1" min="17" max="17"/>
    <col width="13" customWidth="1" min="18" max="18"/>
    <col width="46" customWidth="1" min="19" max="19"/>
  </cols>
  <sheetData>
    <row r="2">
      <c r="A2" s="1" t="inlineStr">
        <is>
          <t>Audit samples</t>
        </is>
      </c>
    </row>
    <row r="3">
      <c r="A3" s="2" t="inlineStr">
        <is>
          <t>Use 'Import request' to add an auditor's sample file -- it finds the header wherever it is and asks which company code the request belongs to.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c r="Q4" s="17" t="inlineStr">
        <is>
          <t>Request</t>
        </is>
      </c>
      <c r="R4" s="17" t="inlineStr">
        <is>
          <t>Company code</t>
        </is>
      </c>
      <c r="S4" s="17" t="inlineStr">
        <is>
          <t>Auditor's comment</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c r="Q5" s="10" t="inlineStr">
        <is>
          <t>Paper Samples</t>
        </is>
      </c>
      <c r="R5" s="10" t="inlineStr">
        <is>
          <t>GBKM</t>
        </is>
      </c>
      <c r="S5" s="10" t="n"/>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c r="Q6" s="10" t="inlineStr">
        <is>
          <t>Paper Samples</t>
        </is>
      </c>
      <c r="R6" s="10" t="inlineStr">
        <is>
          <t>GBKM</t>
        </is>
      </c>
      <c r="S6" s="10" t="n"/>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c r="Q7" s="10" t="inlineStr">
        <is>
          <t>Paper Samples</t>
        </is>
      </c>
      <c r="R7" s="10" t="inlineStr">
        <is>
          <t>GBKM</t>
        </is>
      </c>
      <c r="S7" s="10" t="n"/>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c r="Q8" s="10" t="inlineStr">
        <is>
          <t>Paper Samples</t>
        </is>
      </c>
      <c r="R8" s="10" t="inlineStr">
        <is>
          <t>GBKM</t>
        </is>
      </c>
      <c r="S8" s="10" t="n"/>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c r="Q9" s="10" t="inlineStr">
        <is>
          <t>Paper Samples</t>
        </is>
      </c>
      <c r="R9" s="10" t="inlineStr">
        <is>
          <t>GBKM</t>
        </is>
      </c>
      <c r="S9" s="10" t="n"/>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c r="Q10" s="10" t="inlineStr">
        <is>
          <t>Paper Samples</t>
        </is>
      </c>
      <c r="R10" s="10" t="inlineStr">
        <is>
          <t>GBKM</t>
        </is>
      </c>
      <c r="S10" s="10" t="n"/>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c r="Q11" s="10" t="inlineStr">
        <is>
          <t>Paper Samples</t>
        </is>
      </c>
      <c r="R11" s="10" t="inlineStr">
        <is>
          <t>GBKM</t>
        </is>
      </c>
      <c r="S11" s="10" t="n"/>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c r="Q12" s="10" t="inlineStr">
        <is>
          <t>Paper Samples</t>
        </is>
      </c>
      <c r="R12" s="10" t="inlineStr">
        <is>
          <t>GBKM</t>
        </is>
      </c>
      <c r="S12" s="10" t="n"/>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c r="Q13" s="10" t="inlineStr">
        <is>
          <t>Paper Samples</t>
        </is>
      </c>
      <c r="R13" s="10" t="inlineStr">
        <is>
          <t>GBKM</t>
        </is>
      </c>
      <c r="S13" s="10" t="n"/>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c r="Q14" s="10" t="inlineStr">
        <is>
          <t>Paper Samples</t>
        </is>
      </c>
      <c r="R14" s="10" t="inlineStr">
        <is>
          <t>GBKM</t>
        </is>
      </c>
      <c r="S14" s="10" t="n"/>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c r="Q15" s="10" t="inlineStr">
        <is>
          <t>Paper Samples</t>
        </is>
      </c>
      <c r="R15" s="10" t="inlineStr">
        <is>
          <t>GBKM</t>
        </is>
      </c>
      <c r="S15" s="10" t="n"/>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c r="Q16" s="10" t="inlineStr">
        <is>
          <t>Paper Samples</t>
        </is>
      </c>
      <c r="R16" s="10" t="inlineStr">
        <is>
          <t>GBKM</t>
        </is>
      </c>
      <c r="S16" s="10" t="n"/>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c r="Q17" s="10" t="inlineStr">
        <is>
          <t>Paper Samples</t>
        </is>
      </c>
      <c r="R17" s="10" t="inlineStr">
        <is>
          <t>GBKM</t>
        </is>
      </c>
      <c r="S17" s="10" t="n"/>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c r="Q18" s="10" t="inlineStr">
        <is>
          <t>Paper Samples</t>
        </is>
      </c>
      <c r="R18" s="10" t="inlineStr">
        <is>
          <t>GBKM</t>
        </is>
      </c>
      <c r="S18" s="10" t="n"/>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c r="Q19" s="10" t="inlineStr">
        <is>
          <t>Paper Samples</t>
        </is>
      </c>
      <c r="R19" s="10" t="inlineStr">
        <is>
          <t>GBKM</t>
        </is>
      </c>
      <c r="S19" s="10" t="n"/>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c r="Q20" s="10" t="inlineStr">
        <is>
          <t>Paper Samples</t>
        </is>
      </c>
      <c r="R20" s="10" t="inlineStr">
        <is>
          <t>GBKM</t>
        </is>
      </c>
      <c r="S20" s="10" t="n"/>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c r="Q21" s="10" t="inlineStr">
        <is>
          <t>Paper Samples</t>
        </is>
      </c>
      <c r="R21" s="10" t="inlineStr">
        <is>
          <t>GBKM</t>
        </is>
      </c>
      <c r="S21" s="10" t="n"/>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c r="Q22" s="10" t="inlineStr">
        <is>
          <t>Paper Samples</t>
        </is>
      </c>
      <c r="R22" s="10" t="inlineStr">
        <is>
          <t>GBKM</t>
        </is>
      </c>
      <c r="S22" s="10" t="n"/>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c r="Q23" s="10" t="inlineStr">
        <is>
          <t>Paper Samples</t>
        </is>
      </c>
      <c r="R23" s="10" t="inlineStr">
        <is>
          <t>GBKM</t>
        </is>
      </c>
      <c r="S23" s="10" t="n"/>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c r="Q24" s="10" t="inlineStr">
        <is>
          <t>Paper Samples</t>
        </is>
      </c>
      <c r="R24" s="10" t="inlineStr">
        <is>
          <t>GBKM</t>
        </is>
      </c>
      <c r="S24" s="10" t="n"/>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c r="Q25" s="10" t="inlineStr">
        <is>
          <t>Paper Samples</t>
        </is>
      </c>
      <c r="R25" s="10" t="inlineStr">
        <is>
          <t>GBKM</t>
        </is>
      </c>
      <c r="S25" s="10" t="n"/>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c r="Q26" s="10" t="inlineStr">
        <is>
          <t>Paper Samples</t>
        </is>
      </c>
      <c r="R26" s="10" t="inlineStr">
        <is>
          <t>GBKM</t>
        </is>
      </c>
      <c r="S26" s="10" t="n"/>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c r="Q27" s="10" t="inlineStr">
        <is>
          <t>Paper Samples</t>
        </is>
      </c>
      <c r="R27" s="10" t="inlineStr">
        <is>
          <t>GBKM</t>
        </is>
      </c>
      <c r="S27" s="10" t="n"/>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c r="Q28" s="10" t="inlineStr">
        <is>
          <t>Paper Samples</t>
        </is>
      </c>
      <c r="R28" s="10" t="inlineStr">
        <is>
          <t>GBKM</t>
        </is>
      </c>
      <c r="S28" s="10" t="n"/>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c r="Q29" s="10" t="inlineStr">
        <is>
          <t>Paper Samples</t>
        </is>
      </c>
      <c r="R29" s="10" t="inlineStr">
        <is>
          <t>GBKM</t>
        </is>
      </c>
      <c r="S29" s="10" t="n"/>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c r="Q30" s="10" t="inlineStr">
        <is>
          <t>Paper Samples</t>
        </is>
      </c>
      <c r="R30" s="10" t="inlineStr">
        <is>
          <t>GBKM</t>
        </is>
      </c>
      <c r="S30" s="10" t="n"/>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c r="Q31" s="10" t="inlineStr">
        <is>
          <t>Paper Samples</t>
        </is>
      </c>
      <c r="R31" s="10" t="inlineStr">
        <is>
          <t>GBKM</t>
        </is>
      </c>
      <c r="S31" s="10" t="n"/>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c r="Q32" s="10" t="inlineStr">
        <is>
          <t>Paper Samples</t>
        </is>
      </c>
      <c r="R32" s="10" t="inlineStr">
        <is>
          <t>GBKM</t>
        </is>
      </c>
      <c r="S32" s="10" t="n"/>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c r="Q33" s="10" t="inlineStr">
        <is>
          <t>Paper Samples</t>
        </is>
      </c>
      <c r="R33" s="10" t="inlineStr">
        <is>
          <t>GBKM</t>
        </is>
      </c>
      <c r="S33" s="10" t="n"/>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c r="Q34" s="10" t="inlineStr">
        <is>
          <t>Paper Samples</t>
        </is>
      </c>
      <c r="R34" s="10" t="inlineStr">
        <is>
          <t>GBKM</t>
        </is>
      </c>
      <c r="S34" s="10" t="n"/>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c r="Q35" s="10" t="inlineStr">
        <is>
          <t>Paper Samples</t>
        </is>
      </c>
      <c r="R35" s="10" t="inlineStr">
        <is>
          <t>GBKM</t>
        </is>
      </c>
      <c r="S35" s="10" t="n"/>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c r="Q36" s="10" t="inlineStr">
        <is>
          <t>Paper Samples</t>
        </is>
      </c>
      <c r="R36" s="10" t="inlineStr">
        <is>
          <t>GBKM</t>
        </is>
      </c>
      <c r="S36" s="10" t="n"/>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c r="Q37" s="10" t="inlineStr">
        <is>
          <t>Paper Samples</t>
        </is>
      </c>
      <c r="R37" s="10" t="inlineStr">
        <is>
          <t>GBKM</t>
        </is>
      </c>
      <c r="S37" s="10" t="n"/>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c r="Q38" s="10" t="inlineStr">
        <is>
          <t>Paper Samples</t>
        </is>
      </c>
      <c r="R38" s="10" t="inlineStr">
        <is>
          <t>GBKM</t>
        </is>
      </c>
      <c r="S38" s="10" t="n"/>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c r="Q39" s="10" t="inlineStr">
        <is>
          <t>Paper Samples</t>
        </is>
      </c>
      <c r="R39" s="10" t="inlineStr">
        <is>
          <t>GBKM</t>
        </is>
      </c>
      <c r="S39" s="10" t="n"/>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c r="Q40" s="10" t="inlineStr">
        <is>
          <t>Paper Samples</t>
        </is>
      </c>
      <c r="R40" s="10" t="inlineStr">
        <is>
          <t>GBKM</t>
        </is>
      </c>
      <c r="S40" s="10" t="n"/>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c r="Q41" s="10" t="inlineStr">
        <is>
          <t>Paper Samples</t>
        </is>
      </c>
      <c r="R41" s="10" t="inlineStr">
        <is>
          <t>GBKM</t>
        </is>
      </c>
      <c r="S41" s="10" t="n"/>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c r="Q42" s="10" t="inlineStr">
        <is>
          <t>Paper Samples</t>
        </is>
      </c>
      <c r="R42" s="10" t="inlineStr">
        <is>
          <t>GBKM</t>
        </is>
      </c>
      <c r="S42" s="10" t="n"/>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c r="Q43" s="10" t="inlineStr">
        <is>
          <t>Paper Samples</t>
        </is>
      </c>
      <c r="R43" s="10" t="inlineStr">
        <is>
          <t>GBKM</t>
        </is>
      </c>
      <c r="S43" s="10" t="n"/>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c r="Q44" s="10" t="inlineStr">
        <is>
          <t>Paper Samples</t>
        </is>
      </c>
      <c r="R44" s="10" t="inlineStr">
        <is>
          <t>GBKM</t>
        </is>
      </c>
      <c r="S44" s="10" t="n"/>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c r="Q45" s="10" t="inlineStr">
        <is>
          <t>Paper Samples</t>
        </is>
      </c>
      <c r="R45" s="10" t="inlineStr">
        <is>
          <t>GBKM</t>
        </is>
      </c>
      <c r="S45" s="10" t="n"/>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c r="Q46" s="10" t="inlineStr">
        <is>
          <t>Paper Samples</t>
        </is>
      </c>
      <c r="R46" s="10" t="inlineStr">
        <is>
          <t>GBKM</t>
        </is>
      </c>
      <c r="S46" s="10" t="n"/>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c r="Q47" s="10" t="inlineStr">
        <is>
          <t>Paper Samples</t>
        </is>
      </c>
      <c r="R47" s="10" t="inlineStr">
        <is>
          <t>GBKM</t>
        </is>
      </c>
      <c r="S47" s="10" t="n"/>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c r="Q48" s="10" t="inlineStr">
        <is>
          <t>Paper Samples</t>
        </is>
      </c>
      <c r="R48" s="10" t="inlineStr">
        <is>
          <t>GBKM</t>
        </is>
      </c>
      <c r="S48" s="10" t="n"/>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c r="Q49" s="10" t="inlineStr">
        <is>
          <t>Paper Samples</t>
        </is>
      </c>
      <c r="R49" s="10" t="inlineStr">
        <is>
          <t>GBKM</t>
        </is>
      </c>
      <c r="S49" s="10" t="n"/>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c r="Q50" s="10" t="inlineStr">
        <is>
          <t>Paper Samples</t>
        </is>
      </c>
      <c r="R50" s="10" t="inlineStr">
        <is>
          <t>GBKM</t>
        </is>
      </c>
      <c r="S50" s="10" t="n"/>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c r="Q51" s="10" t="inlineStr">
        <is>
          <t>Paper Samples</t>
        </is>
      </c>
      <c r="R51" s="10" t="inlineStr">
        <is>
          <t>GBKM</t>
        </is>
      </c>
      <c r="S51" s="10" t="n"/>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c r="Q52" s="10" t="inlineStr">
        <is>
          <t>Paper Samples</t>
        </is>
      </c>
      <c r="R52" s="10" t="inlineStr">
        <is>
          <t>GBKM</t>
        </is>
      </c>
      <c r="S52" s="10" t="n"/>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c r="Q53" s="10" t="inlineStr">
        <is>
          <t>Paper Samples</t>
        </is>
      </c>
      <c r="R53" s="10" t="inlineStr">
        <is>
          <t>GBKM</t>
        </is>
      </c>
      <c r="S53" s="10" t="n"/>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c r="Q54" s="10" t="inlineStr">
        <is>
          <t>Paper Samples</t>
        </is>
      </c>
      <c r="R54" s="10" t="inlineStr">
        <is>
          <t>GBKM</t>
        </is>
      </c>
      <c r="S54" s="10" t="n"/>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c r="Q55" s="10" t="inlineStr">
        <is>
          <t>Paper Samples</t>
        </is>
      </c>
      <c r="R55" s="10" t="inlineStr">
        <is>
          <t>GBKM</t>
        </is>
      </c>
      <c r="S55" s="10" t="n"/>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c r="Q56" s="10" t="inlineStr">
        <is>
          <t>Paper Samples</t>
        </is>
      </c>
      <c r="R56" s="10" t="inlineStr">
        <is>
          <t>GBKM</t>
        </is>
      </c>
      <c r="S56" s="10" t="n"/>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c r="Q57" s="10" t="inlineStr">
        <is>
          <t>Paper Samples</t>
        </is>
      </c>
      <c r="R57" s="10" t="inlineStr">
        <is>
          <t>GBKM</t>
        </is>
      </c>
      <c r="S57" s="10" t="n"/>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c r="Q58" s="10" t="inlineStr">
        <is>
          <t>Paper Samples</t>
        </is>
      </c>
      <c r="R58" s="10" t="inlineStr">
        <is>
          <t>GBKM</t>
        </is>
      </c>
      <c r="S58" s="10" t="n"/>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c r="Q59" s="10" t="inlineStr">
        <is>
          <t>Paper Samples</t>
        </is>
      </c>
      <c r="R59" s="10" t="inlineStr">
        <is>
          <t>GBKM</t>
        </is>
      </c>
      <c r="S59" s="10" t="n"/>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c r="Q60" s="10" t="inlineStr">
        <is>
          <t>Paper Samples</t>
        </is>
      </c>
      <c r="R60" s="10" t="inlineStr">
        <is>
          <t>GBKM</t>
        </is>
      </c>
      <c r="S60" s="10" t="n"/>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2026-07-31T10:55:57Z</dcterms:created>
  <dcterms:modified xsi:type="dcterms:W3CDTF">2026-07-31T10:55:57Z</dcterms:modified>
</cp:coreProperties>
</file>