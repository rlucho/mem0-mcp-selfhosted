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6"/>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attachment title contains</t>
        </is>
      </c>
      <c r="C33" s="11" t="inlineStr">
        <is>
          <t>Invoice</t>
        </is>
      </c>
      <c r="D33"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34">
      <c r="B34" s="10" t="inlineStr">
        <is>
          <t>Invoice document type</t>
        </is>
      </c>
      <c r="C34" s="11" t="inlineStr">
        <is>
          <t>KR, RN</t>
        </is>
      </c>
      <c r="D34"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5">
      <c r="B35" s="10" t="inlineStr">
        <is>
          <t>Invoice list amount column</t>
        </is>
      </c>
      <c r="C35" s="11" t="inlineStr"/>
      <c r="D35" s="12" t="inlineStr">
        <is>
          <t>Santander SCF route only. Caption of the amount column in the exported list of invoices behind an SCF payment. Blank falls back to a built-in list of captions.</t>
        </is>
      </c>
    </row>
    <row r="36">
      <c r="B36" s="10" t="inlineStr">
        <is>
          <t>Invoice list supplier column</t>
        </is>
      </c>
      <c r="C36" s="11" t="inlineStr"/>
      <c r="D36" s="12" t="inlineStr">
        <is>
          <t>Caption of the supplier column in that same file.</t>
        </is>
      </c>
    </row>
    <row r="37">
      <c r="B37" s="10" t="inlineStr">
        <is>
          <t>Invoice list document column</t>
        </is>
      </c>
      <c r="C37" s="11" t="inlineStr"/>
      <c r="D37" s="12" t="inlineStr">
        <is>
          <t>Caption of the invoice-number column in that same file.</t>
        </is>
      </c>
    </row>
    <row r="38">
      <c r="B38" s="10" t="inlineStr">
        <is>
          <t>Extra popup titles to allow</t>
        </is>
      </c>
      <c r="C38" s="11" t="inlineStr"/>
      <c r="D38"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9">
      <c r="B39" s="10" t="inlineStr">
        <is>
          <t>Operator name</t>
        </is>
      </c>
      <c r="C39" s="11" t="inlineStr"/>
      <c r="D39" s="12" t="inlineStr">
        <is>
          <t>Written into the log for the audit trail.</t>
        </is>
      </c>
    </row>
    <row r="42">
      <c r="B42" s="3" t="inlineStr">
        <is>
          <t>Progress (formulas over the Samples sheet)</t>
        </is>
      </c>
    </row>
    <row r="43">
      <c r="B43" s="14" t="inlineStr">
        <is>
          <t>Samples in the sheet</t>
        </is>
      </c>
      <c r="C43" s="15">
        <f>COUNTA(Samples!A5:A1000)</f>
        <v/>
      </c>
    </row>
    <row r="44">
      <c r="B44" s="14" t="inlineStr">
        <is>
          <t>Included in the next run</t>
        </is>
      </c>
      <c r="C44" s="15">
        <f>COUNTIF(Samples!P5:P1000,"Yes")+COUNTBLANK(Samples!P5:P60)</f>
        <v/>
      </c>
    </row>
    <row r="45">
      <c r="B45" s="14" t="inlineStr">
        <is>
          <t>Excluded</t>
        </is>
      </c>
      <c r="C45" s="15">
        <f>COUNTIF(Samples!P5:P1000,"No")</f>
        <v/>
      </c>
    </row>
    <row r="46">
      <c r="B46" s="14" t="inlineStr">
        <is>
          <t>DONE -- invoice downloaded</t>
        </is>
      </c>
      <c r="C46" s="15">
        <f>COUNTIF(Samples!J5:J1000,"DONE")</f>
        <v/>
      </c>
    </row>
    <row r="47">
      <c r="B47" s="14" t="inlineStr">
        <is>
          <t>BLOCKED_FBL1N -- steps 8-9 not mapped yet</t>
        </is>
      </c>
      <c r="C47" s="15">
        <f>COUNTIF(Samples!J5:J1000,"BLOCKED_FBL1N")</f>
        <v/>
      </c>
    </row>
    <row r="48">
      <c r="B48" s="14" t="inlineStr">
        <is>
          <t>BLOCKED_INVOICE -- reached the payment, no PDF</t>
        </is>
      </c>
      <c r="C48" s="15">
        <f>COUNTIF(Samples!J5:J1000,"BLOCKED_INVOICE")</f>
        <v/>
      </c>
    </row>
    <row r="49">
      <c r="B49" s="14" t="inlineStr">
        <is>
          <t>PARTIAL -- traced, no invoice file</t>
        </is>
      </c>
      <c r="C49" s="15">
        <f>COUNTIF(Samples!J5:J1000,"PARTIAL")</f>
        <v/>
      </c>
    </row>
    <row r="50">
      <c r="B50" s="14" t="inlineStr">
        <is>
          <t>NO CLEARING -- internal transfer, line items exported</t>
        </is>
      </c>
      <c r="C50" s="15">
        <f>COUNTIF(Samples!J5:J1000,"NO CLEARING")</f>
        <v/>
      </c>
    </row>
    <row r="51">
      <c r="B51" s="14" t="inlineStr">
        <is>
          <t>NO VENDOR PAYMENTS -- treasury/FX settlement</t>
        </is>
      </c>
      <c r="C51" s="15">
        <f>COUNTIF(Samples!J5:J1000,"NO VENDOR PAYMENTS")</f>
        <v/>
      </c>
    </row>
    <row r="52">
      <c r="B52" s="14" t="inlineStr">
        <is>
          <t>NOT FOUND -- no matching statement line</t>
        </is>
      </c>
      <c r="C52" s="15">
        <f>COUNTIF(Samples!J5:J1000,"NOT FOUND")</f>
        <v/>
      </c>
    </row>
    <row r="53">
      <c r="B53" s="14" t="inlineStr">
        <is>
          <t>AMBIGUOUS -- more than one line matched</t>
        </is>
      </c>
      <c r="C53" s="15">
        <f>COUNTIF(Samples!J5:J1000,"AMBIGUOUS")</f>
        <v/>
      </c>
    </row>
    <row r="54">
      <c r="B54" s="14" t="inlineStr">
        <is>
          <t>ERROR</t>
        </is>
      </c>
      <c r="C54" s="15">
        <f>COUNTIF(Samples!J5:J1000,"ERROR")</f>
        <v/>
      </c>
    </row>
    <row r="55">
      <c r="B55" s="14" t="inlineStr">
        <is>
          <t>Not started</t>
        </is>
      </c>
      <c r="C55" s="15">
        <f>COUNTBLANK(Samples!J5:J60)</f>
        <v/>
      </c>
    </row>
    <row r="56">
      <c r="B56" s="14" t="inlineStr">
        <is>
          <t>Files downloaded</t>
        </is>
      </c>
      <c r="C56" s="15">
        <f>SUM(Samples!N5:N1000)</f>
        <v/>
      </c>
    </row>
    <row r="57">
      <c r="B57" s="14" t="inlineStr">
        <is>
          <t>Samples with no named beneficiary in the request</t>
        </is>
      </c>
      <c r="C57" s="15">
        <f>COUNTIF(Samples!I5:I1000,"*no_named_beneficiary*")</f>
        <v/>
      </c>
    </row>
    <row r="58">
      <c r="B58" s="14" t="inlineStr">
        <is>
          <t>Reached a confirming (Santander SCF) payment</t>
        </is>
      </c>
      <c r="C58" s="15">
        <f>COUNTIF(Samples!O5:O1000,"*confirming party*")</f>
        <v/>
      </c>
    </row>
    <row r="59">
      <c r="B59" s="14" t="inlineStr">
        <is>
          <t>Samples the request already names as SANTANDER SCF</t>
        </is>
      </c>
      <c r="C59" s="15">
        <f>COUNTIF(Samples!G5:G1000,"*SANTANDER*")</f>
        <v/>
      </c>
    </row>
    <row r="62">
      <c r="B62" s="3" t="inlineStr">
        <is>
          <t>Assumptions baked into this workbook</t>
        </is>
      </c>
    </row>
    <row r="63" ht="28" customHeight="1">
      <c r="B63" s="14" t="inlineStr">
        <is>
          <t>1.</t>
        </is>
      </c>
      <c r="C63" s="16" t="inlineStr">
        <is>
          <t>Company code GBKM and the FEBAN transaction are taken from the requester's instruction, not from the auditor's workbook, which names neither.</t>
        </is>
      </c>
    </row>
    <row r="64" ht="28" customHeight="1">
      <c r="B64" s="14" t="inlineStr">
        <is>
          <t>2.</t>
        </is>
      </c>
      <c r="C64" s="16" t="inlineStr">
        <is>
          <t>The FEBAN statement-date range for each sample is the first to the last calendar day of the month containing that sample's payment date (column C and D formulas on 'Samples').</t>
        </is>
      </c>
    </row>
    <row r="65" ht="28" customHeight="1">
      <c r="B65" s="14" t="inlineStr">
        <is>
          <t>3.</t>
        </is>
      </c>
      <c r="C65" s="16" t="inlineStr">
        <is>
          <t>Sample amounts are stored as positive numbers. The auditor's workbook shows them unsigned even where the bank statement shows a debit.</t>
        </is>
      </c>
    </row>
    <row r="66" ht="28" customHeight="1">
      <c r="B66" s="14" t="inlineStr">
        <is>
          <t>4.</t>
        </is>
      </c>
      <c r="C66" s="16" t="inlineStr">
        <is>
          <t>Source of the sample list: 'Paper Samples' sheet, rows 5-60, of Samples_Paper_SURL260716_152455.962.xlsx as supplied by the auditor.</t>
        </is>
      </c>
    </row>
  </sheetData>
  <mergeCells count="4">
    <mergeCell ref="C65:D65"/>
    <mergeCell ref="C64:D64"/>
    <mergeCell ref="C63:D63"/>
    <mergeCell ref="C66:D66"/>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S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 width="30" customWidth="1" min="17" max="17"/>
    <col width="13" customWidth="1" min="18" max="18"/>
    <col width="46" customWidth="1" min="19" max="19"/>
  </cols>
  <sheetData>
    <row r="2">
      <c r="A2" s="1" t="inlineStr">
        <is>
          <t>Audit samples</t>
        </is>
      </c>
    </row>
    <row r="3">
      <c r="A3" s="2" t="inlineStr">
        <is>
          <t>Use 'Import request' to add an auditor's sample file -- it finds the header wherever it is and asks which company code the request belongs to.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c r="Q4" s="17" t="inlineStr">
        <is>
          <t>Request</t>
        </is>
      </c>
      <c r="R4" s="17" t="inlineStr">
        <is>
          <t>Company code</t>
        </is>
      </c>
      <c r="S4" s="17" t="inlineStr">
        <is>
          <t>Auditor's comment</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c r="Q5" s="10" t="inlineStr">
        <is>
          <t>Paper Samples</t>
        </is>
      </c>
      <c r="R5" s="10" t="inlineStr">
        <is>
          <t>GBKM</t>
        </is>
      </c>
      <c r="S5" s="10" t="n"/>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c r="Q6" s="10" t="inlineStr">
        <is>
          <t>Paper Samples</t>
        </is>
      </c>
      <c r="R6" s="10" t="inlineStr">
        <is>
          <t>GBKM</t>
        </is>
      </c>
      <c r="S6" s="10" t="n"/>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c r="Q7" s="10" t="inlineStr">
        <is>
          <t>Paper Samples</t>
        </is>
      </c>
      <c r="R7" s="10" t="inlineStr">
        <is>
          <t>GBKM</t>
        </is>
      </c>
      <c r="S7" s="10" t="n"/>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c r="Q8" s="10" t="inlineStr">
        <is>
          <t>Paper Samples</t>
        </is>
      </c>
      <c r="R8" s="10" t="inlineStr">
        <is>
          <t>GBKM</t>
        </is>
      </c>
      <c r="S8" s="10" t="n"/>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c r="Q9" s="10" t="inlineStr">
        <is>
          <t>Paper Samples</t>
        </is>
      </c>
      <c r="R9" s="10" t="inlineStr">
        <is>
          <t>GBKM</t>
        </is>
      </c>
      <c r="S9" s="10" t="n"/>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c r="Q10" s="10" t="inlineStr">
        <is>
          <t>Paper Samples</t>
        </is>
      </c>
      <c r="R10" s="10" t="inlineStr">
        <is>
          <t>GBKM</t>
        </is>
      </c>
      <c r="S10" s="10" t="n"/>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c r="Q11" s="10" t="inlineStr">
        <is>
          <t>Paper Samples</t>
        </is>
      </c>
      <c r="R11" s="10" t="inlineStr">
        <is>
          <t>GBKM</t>
        </is>
      </c>
      <c r="S11" s="10" t="n"/>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c r="Q12" s="10" t="inlineStr">
        <is>
          <t>Paper Samples</t>
        </is>
      </c>
      <c r="R12" s="10" t="inlineStr">
        <is>
          <t>GBKM</t>
        </is>
      </c>
      <c r="S12" s="10" t="n"/>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c r="Q13" s="10" t="inlineStr">
        <is>
          <t>Paper Samples</t>
        </is>
      </c>
      <c r="R13" s="10" t="inlineStr">
        <is>
          <t>GBKM</t>
        </is>
      </c>
      <c r="S13" s="10" t="n"/>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c r="Q14" s="10" t="inlineStr">
        <is>
          <t>Paper Samples</t>
        </is>
      </c>
      <c r="R14" s="10" t="inlineStr">
        <is>
          <t>GBKM</t>
        </is>
      </c>
      <c r="S14" s="10" t="n"/>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c r="Q15" s="10" t="inlineStr">
        <is>
          <t>Paper Samples</t>
        </is>
      </c>
      <c r="R15" s="10" t="inlineStr">
        <is>
          <t>GBKM</t>
        </is>
      </c>
      <c r="S15" s="10" t="n"/>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c r="Q16" s="10" t="inlineStr">
        <is>
          <t>Paper Samples</t>
        </is>
      </c>
      <c r="R16" s="10" t="inlineStr">
        <is>
          <t>GBKM</t>
        </is>
      </c>
      <c r="S16" s="10" t="n"/>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c r="Q17" s="10" t="inlineStr">
        <is>
          <t>Paper Samples</t>
        </is>
      </c>
      <c r="R17" s="10" t="inlineStr">
        <is>
          <t>GBKM</t>
        </is>
      </c>
      <c r="S17" s="10" t="n"/>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c r="Q18" s="10" t="inlineStr">
        <is>
          <t>Paper Samples</t>
        </is>
      </c>
      <c r="R18" s="10" t="inlineStr">
        <is>
          <t>GBKM</t>
        </is>
      </c>
      <c r="S18" s="10" t="n"/>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c r="Q19" s="10" t="inlineStr">
        <is>
          <t>Paper Samples</t>
        </is>
      </c>
      <c r="R19" s="10" t="inlineStr">
        <is>
          <t>GBKM</t>
        </is>
      </c>
      <c r="S19" s="10" t="n"/>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c r="Q20" s="10" t="inlineStr">
        <is>
          <t>Paper Samples</t>
        </is>
      </c>
      <c r="R20" s="10" t="inlineStr">
        <is>
          <t>GBKM</t>
        </is>
      </c>
      <c r="S20" s="10" t="n"/>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c r="Q21" s="10" t="inlineStr">
        <is>
          <t>Paper Samples</t>
        </is>
      </c>
      <c r="R21" s="10" t="inlineStr">
        <is>
          <t>GBKM</t>
        </is>
      </c>
      <c r="S21" s="10" t="n"/>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c r="Q22" s="10" t="inlineStr">
        <is>
          <t>Paper Samples</t>
        </is>
      </c>
      <c r="R22" s="10" t="inlineStr">
        <is>
          <t>GBKM</t>
        </is>
      </c>
      <c r="S22" s="10" t="n"/>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c r="Q23" s="10" t="inlineStr">
        <is>
          <t>Paper Samples</t>
        </is>
      </c>
      <c r="R23" s="10" t="inlineStr">
        <is>
          <t>GBKM</t>
        </is>
      </c>
      <c r="S23" s="10" t="n"/>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c r="Q24" s="10" t="inlineStr">
        <is>
          <t>Paper Samples</t>
        </is>
      </c>
      <c r="R24" s="10" t="inlineStr">
        <is>
          <t>GBKM</t>
        </is>
      </c>
      <c r="S24" s="10" t="n"/>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c r="Q25" s="10" t="inlineStr">
        <is>
          <t>Paper Samples</t>
        </is>
      </c>
      <c r="R25" s="10" t="inlineStr">
        <is>
          <t>GBKM</t>
        </is>
      </c>
      <c r="S25" s="10" t="n"/>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c r="Q26" s="10" t="inlineStr">
        <is>
          <t>Paper Samples</t>
        </is>
      </c>
      <c r="R26" s="10" t="inlineStr">
        <is>
          <t>GBKM</t>
        </is>
      </c>
      <c r="S26" s="10" t="n"/>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c r="Q27" s="10" t="inlineStr">
        <is>
          <t>Paper Samples</t>
        </is>
      </c>
      <c r="R27" s="10" t="inlineStr">
        <is>
          <t>GBKM</t>
        </is>
      </c>
      <c r="S27" s="10" t="n"/>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c r="Q28" s="10" t="inlineStr">
        <is>
          <t>Paper Samples</t>
        </is>
      </c>
      <c r="R28" s="10" t="inlineStr">
        <is>
          <t>GBKM</t>
        </is>
      </c>
      <c r="S28" s="10" t="n"/>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c r="Q29" s="10" t="inlineStr">
        <is>
          <t>Paper Samples</t>
        </is>
      </c>
      <c r="R29" s="10" t="inlineStr">
        <is>
          <t>GBKM</t>
        </is>
      </c>
      <c r="S29" s="10" t="n"/>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c r="Q30" s="10" t="inlineStr">
        <is>
          <t>Paper Samples</t>
        </is>
      </c>
      <c r="R30" s="10" t="inlineStr">
        <is>
          <t>GBKM</t>
        </is>
      </c>
      <c r="S30" s="10" t="n"/>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c r="Q31" s="10" t="inlineStr">
        <is>
          <t>Paper Samples</t>
        </is>
      </c>
      <c r="R31" s="10" t="inlineStr">
        <is>
          <t>GBKM</t>
        </is>
      </c>
      <c r="S31" s="10" t="n"/>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c r="Q32" s="10" t="inlineStr">
        <is>
          <t>Paper Samples</t>
        </is>
      </c>
      <c r="R32" s="10" t="inlineStr">
        <is>
          <t>GBKM</t>
        </is>
      </c>
      <c r="S32" s="10" t="n"/>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c r="Q33" s="10" t="inlineStr">
        <is>
          <t>Paper Samples</t>
        </is>
      </c>
      <c r="R33" s="10" t="inlineStr">
        <is>
          <t>GBKM</t>
        </is>
      </c>
      <c r="S33" s="10" t="n"/>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c r="Q34" s="10" t="inlineStr">
        <is>
          <t>Paper Samples</t>
        </is>
      </c>
      <c r="R34" s="10" t="inlineStr">
        <is>
          <t>GBKM</t>
        </is>
      </c>
      <c r="S34" s="10" t="n"/>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c r="Q35" s="10" t="inlineStr">
        <is>
          <t>Paper Samples</t>
        </is>
      </c>
      <c r="R35" s="10" t="inlineStr">
        <is>
          <t>GBKM</t>
        </is>
      </c>
      <c r="S35" s="10" t="n"/>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c r="Q36" s="10" t="inlineStr">
        <is>
          <t>Paper Samples</t>
        </is>
      </c>
      <c r="R36" s="10" t="inlineStr">
        <is>
          <t>GBKM</t>
        </is>
      </c>
      <c r="S36" s="10" t="n"/>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c r="Q37" s="10" t="inlineStr">
        <is>
          <t>Paper Samples</t>
        </is>
      </c>
      <c r="R37" s="10" t="inlineStr">
        <is>
          <t>GBKM</t>
        </is>
      </c>
      <c r="S37" s="10" t="n"/>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c r="Q38" s="10" t="inlineStr">
        <is>
          <t>Paper Samples</t>
        </is>
      </c>
      <c r="R38" s="10" t="inlineStr">
        <is>
          <t>GBKM</t>
        </is>
      </c>
      <c r="S38" s="10" t="n"/>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c r="Q39" s="10" t="inlineStr">
        <is>
          <t>Paper Samples</t>
        </is>
      </c>
      <c r="R39" s="10" t="inlineStr">
        <is>
          <t>GBKM</t>
        </is>
      </c>
      <c r="S39" s="10" t="n"/>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c r="Q40" s="10" t="inlineStr">
        <is>
          <t>Paper Samples</t>
        </is>
      </c>
      <c r="R40" s="10" t="inlineStr">
        <is>
          <t>GBKM</t>
        </is>
      </c>
      <c r="S40" s="10" t="n"/>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c r="Q41" s="10" t="inlineStr">
        <is>
          <t>Paper Samples</t>
        </is>
      </c>
      <c r="R41" s="10" t="inlineStr">
        <is>
          <t>GBKM</t>
        </is>
      </c>
      <c r="S41" s="10" t="n"/>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c r="Q42" s="10" t="inlineStr">
        <is>
          <t>Paper Samples</t>
        </is>
      </c>
      <c r="R42" s="10" t="inlineStr">
        <is>
          <t>GBKM</t>
        </is>
      </c>
      <c r="S42" s="10" t="n"/>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c r="Q43" s="10" t="inlineStr">
        <is>
          <t>Paper Samples</t>
        </is>
      </c>
      <c r="R43" s="10" t="inlineStr">
        <is>
          <t>GBKM</t>
        </is>
      </c>
      <c r="S43" s="10" t="n"/>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c r="Q44" s="10" t="inlineStr">
        <is>
          <t>Paper Samples</t>
        </is>
      </c>
      <c r="R44" s="10" t="inlineStr">
        <is>
          <t>GBKM</t>
        </is>
      </c>
      <c r="S44" s="10" t="n"/>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c r="Q45" s="10" t="inlineStr">
        <is>
          <t>Paper Samples</t>
        </is>
      </c>
      <c r="R45" s="10" t="inlineStr">
        <is>
          <t>GBKM</t>
        </is>
      </c>
      <c r="S45" s="10" t="n"/>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c r="Q46" s="10" t="inlineStr">
        <is>
          <t>Paper Samples</t>
        </is>
      </c>
      <c r="R46" s="10" t="inlineStr">
        <is>
          <t>GBKM</t>
        </is>
      </c>
      <c r="S46" s="10" t="n"/>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c r="Q47" s="10" t="inlineStr">
        <is>
          <t>Paper Samples</t>
        </is>
      </c>
      <c r="R47" s="10" t="inlineStr">
        <is>
          <t>GBKM</t>
        </is>
      </c>
      <c r="S47" s="10" t="n"/>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c r="Q48" s="10" t="inlineStr">
        <is>
          <t>Paper Samples</t>
        </is>
      </c>
      <c r="R48" s="10" t="inlineStr">
        <is>
          <t>GBKM</t>
        </is>
      </c>
      <c r="S48" s="10" t="n"/>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c r="Q49" s="10" t="inlineStr">
        <is>
          <t>Paper Samples</t>
        </is>
      </c>
      <c r="R49" s="10" t="inlineStr">
        <is>
          <t>GBKM</t>
        </is>
      </c>
      <c r="S49" s="10" t="n"/>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c r="Q50" s="10" t="inlineStr">
        <is>
          <t>Paper Samples</t>
        </is>
      </c>
      <c r="R50" s="10" t="inlineStr">
        <is>
          <t>GBKM</t>
        </is>
      </c>
      <c r="S50" s="10" t="n"/>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c r="Q51" s="10" t="inlineStr">
        <is>
          <t>Paper Samples</t>
        </is>
      </c>
      <c r="R51" s="10" t="inlineStr">
        <is>
          <t>GBKM</t>
        </is>
      </c>
      <c r="S51" s="10" t="n"/>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c r="Q52" s="10" t="inlineStr">
        <is>
          <t>Paper Samples</t>
        </is>
      </c>
      <c r="R52" s="10" t="inlineStr">
        <is>
          <t>GBKM</t>
        </is>
      </c>
      <c r="S52" s="10" t="n"/>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c r="Q53" s="10" t="inlineStr">
        <is>
          <t>Paper Samples</t>
        </is>
      </c>
      <c r="R53" s="10" t="inlineStr">
        <is>
          <t>GBKM</t>
        </is>
      </c>
      <c r="S53" s="10" t="n"/>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c r="Q54" s="10" t="inlineStr">
        <is>
          <t>Paper Samples</t>
        </is>
      </c>
      <c r="R54" s="10" t="inlineStr">
        <is>
          <t>GBKM</t>
        </is>
      </c>
      <c r="S54" s="10" t="n"/>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c r="Q55" s="10" t="inlineStr">
        <is>
          <t>Paper Samples</t>
        </is>
      </c>
      <c r="R55" s="10" t="inlineStr">
        <is>
          <t>GBKM</t>
        </is>
      </c>
      <c r="S55" s="10" t="n"/>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c r="Q56" s="10" t="inlineStr">
        <is>
          <t>Paper Samples</t>
        </is>
      </c>
      <c r="R56" s="10" t="inlineStr">
        <is>
          <t>GBKM</t>
        </is>
      </c>
      <c r="S56" s="10" t="n"/>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c r="Q57" s="10" t="inlineStr">
        <is>
          <t>Paper Samples</t>
        </is>
      </c>
      <c r="R57" s="10" t="inlineStr">
        <is>
          <t>GBKM</t>
        </is>
      </c>
      <c r="S57" s="10" t="n"/>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c r="Q58" s="10" t="inlineStr">
        <is>
          <t>Paper Samples</t>
        </is>
      </c>
      <c r="R58" s="10" t="inlineStr">
        <is>
          <t>GBKM</t>
        </is>
      </c>
      <c r="S58" s="10" t="n"/>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c r="Q59" s="10" t="inlineStr">
        <is>
          <t>Paper Samples</t>
        </is>
      </c>
      <c r="R59" s="10" t="inlineStr">
        <is>
          <t>GBKM</t>
        </is>
      </c>
      <c r="S59" s="10" t="n"/>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c r="Q60" s="10" t="inlineStr">
        <is>
          <t>Paper Samples</t>
        </is>
      </c>
      <c r="R60" s="10" t="inlineStr">
        <is>
          <t>GBKM</t>
        </is>
      </c>
      <c r="S60" s="10" t="n"/>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2026-07-31T11:17:38Z</dcterms:created>
  <dcterms:modified xsi:type="dcterms:W3CDTF">2026-07-31T11:17:38Z</dcterms:modified>
</cp:coreProperties>
</file>