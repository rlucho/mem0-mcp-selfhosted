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5">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b val="1"/>
      <color rgb="00C55A11"/>
      <sz val="9"/>
    </font>
    <font>
      <name val="Arial"/>
      <b val="1"/>
      <color rgb="00C000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0" fontId="11" fillId="0" borderId="1" applyAlignment="1" pivotButton="0" quotePrefix="0" xfId="0">
      <alignment horizontal="center"/>
    </xf>
    <xf numFmtId="0" fontId="12" fillId="0" borderId="1" applyAlignment="1" pivotButton="0" quotePrefix="0" xfId="0">
      <alignment horizontal="center"/>
    </xf>
    <xf numFmtId="165" fontId="4" fillId="0" borderId="1" pivotButton="0" quotePrefix="0" xfId="0"/>
    <xf numFmtId="4" fontId="4" fillId="0" borderId="1" pivotButton="0" quotePrefix="0" xfId="0"/>
    <xf numFmtId="0" fontId="13"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58"/>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this type are taken from the Payment Usage list and fed to FBL1N. ZP is the SAP standard for a payment document.</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Invoice list amount column</t>
        </is>
      </c>
      <c r="C30" s="11" t="inlineStr"/>
      <c r="D30" s="12" t="inlineStr">
        <is>
          <t>Santander SCF route only. Caption of the amount column in the exported list of invoices behind an SCF payment. Blank falls back to a built-in list of captions.</t>
        </is>
      </c>
    </row>
    <row r="31">
      <c r="B31" s="10" t="inlineStr">
        <is>
          <t>Invoice list supplier column</t>
        </is>
      </c>
      <c r="C31" s="11" t="inlineStr"/>
      <c r="D31" s="12" t="inlineStr">
        <is>
          <t>Caption of the supplier column in that same file.</t>
        </is>
      </c>
    </row>
    <row r="32">
      <c r="B32" s="10" t="inlineStr">
        <is>
          <t>Invoice list document column</t>
        </is>
      </c>
      <c r="C32" s="11" t="inlineStr"/>
      <c r="D32" s="12" t="inlineStr">
        <is>
          <t>Caption of the invoice-number column in that same file.</t>
        </is>
      </c>
    </row>
    <row r="33">
      <c r="B33" s="10" t="inlineStr">
        <is>
          <t>Operator name</t>
        </is>
      </c>
      <c r="C33" s="11" t="inlineStr"/>
      <c r="D33" s="12" t="inlineStr">
        <is>
          <t>Written into the log for the audit trail.</t>
        </is>
      </c>
    </row>
    <row r="36">
      <c r="B36" s="3" t="inlineStr">
        <is>
          <t>Progress (formulas over the Samples sheet)</t>
        </is>
      </c>
    </row>
    <row r="37">
      <c r="B37" s="14" t="inlineStr">
        <is>
          <t>Samples in the sheet</t>
        </is>
      </c>
      <c r="C37" s="15">
        <f>COUNTA(Samples!A5:A1000)</f>
        <v/>
      </c>
    </row>
    <row r="38">
      <c r="B38" s="14" t="inlineStr">
        <is>
          <t>Included in the next run</t>
        </is>
      </c>
      <c r="C38" s="15">
        <f>COUNTIF(Samples!P5:P1000,"Yes")+COUNTBLANK(Samples!P5:P60)</f>
        <v/>
      </c>
    </row>
    <row r="39">
      <c r="B39" s="14" t="inlineStr">
        <is>
          <t>Excluded</t>
        </is>
      </c>
      <c r="C39" s="15">
        <f>COUNTIF(Samples!P5:P1000,"No")</f>
        <v/>
      </c>
    </row>
    <row r="40">
      <c r="B40" s="14" t="inlineStr">
        <is>
          <t>DONE -- invoice downloaded</t>
        </is>
      </c>
      <c r="C40" s="15">
        <f>COUNTIF(Samples!J5:J1000,"DONE")</f>
        <v/>
      </c>
    </row>
    <row r="41">
      <c r="B41" s="14" t="inlineStr">
        <is>
          <t>BLOCKED_FBL1N -- steps 8-9 not mapped yet</t>
        </is>
      </c>
      <c r="C41" s="15">
        <f>COUNTIF(Samples!J5:J1000,"BLOCKED_FBL1N")</f>
        <v/>
      </c>
    </row>
    <row r="42">
      <c r="B42" s="14" t="inlineStr">
        <is>
          <t>BLOCKED_SCF -- Santander, needs the extra hop</t>
        </is>
      </c>
      <c r="C42" s="15">
        <f>COUNTIF(Samples!J5:J1000,"BLOCKED_SCF")</f>
        <v/>
      </c>
    </row>
    <row r="43">
      <c r="B43" s="14" t="inlineStr">
        <is>
          <t>BLOCKED_INVOICE -- reached the payment, no PDF</t>
        </is>
      </c>
      <c r="C43" s="15">
        <f>COUNTIF(Samples!J5:J1000,"BLOCKED_INVOICE")</f>
        <v/>
      </c>
    </row>
    <row r="44">
      <c r="B44" s="14" t="inlineStr">
        <is>
          <t>PARTIAL -- traced, no invoice file</t>
        </is>
      </c>
      <c r="C44" s="15">
        <f>COUNTIF(Samples!J5:J1000,"PARTIAL")</f>
        <v/>
      </c>
    </row>
    <row r="45">
      <c r="B45" s="14" t="inlineStr">
        <is>
          <t>NOT FOUND -- no matching statement line</t>
        </is>
      </c>
      <c r="C45" s="15">
        <f>COUNTIF(Samples!J5:J1000,"NOT FOUND")</f>
        <v/>
      </c>
    </row>
    <row r="46">
      <c r="B46" s="14" t="inlineStr">
        <is>
          <t>AMBIGUOUS -- more than one line matched</t>
        </is>
      </c>
      <c r="C46" s="15">
        <f>COUNTIF(Samples!J5:J1000,"AMBIGUOUS")</f>
        <v/>
      </c>
    </row>
    <row r="47">
      <c r="B47" s="14" t="inlineStr">
        <is>
          <t>ERROR</t>
        </is>
      </c>
      <c r="C47" s="15">
        <f>COUNTIF(Samples!J5:J1000,"ERROR")</f>
        <v/>
      </c>
    </row>
    <row r="48">
      <c r="B48" s="14" t="inlineStr">
        <is>
          <t>Not started</t>
        </is>
      </c>
      <c r="C48" s="15">
        <f>COUNTBLANK(Samples!J5:J60)</f>
        <v/>
      </c>
    </row>
    <row r="49">
      <c r="B49" s="14" t="inlineStr">
        <is>
          <t>Files downloaded</t>
        </is>
      </c>
      <c r="C49" s="15">
        <f>SUM(Samples!N5:N1000)</f>
        <v/>
      </c>
    </row>
    <row r="50">
      <c r="B50" s="14" t="inlineStr">
        <is>
          <t>Samples with no named beneficiary in the request</t>
        </is>
      </c>
      <c r="C50" s="15">
        <f>COUNTIF(Samples!I5:I1000,"*no_named_beneficiary*")</f>
        <v/>
      </c>
    </row>
    <row r="51">
      <c r="B51" s="14" t="inlineStr">
        <is>
          <t>Samples the request already names as SANTANDER SCF</t>
        </is>
      </c>
      <c r="C51" s="15">
        <f>COUNTIF(Samples!G5:G1000,"*SANTANDER*")</f>
        <v/>
      </c>
    </row>
    <row r="54">
      <c r="B54" s="3" t="inlineStr">
        <is>
          <t>Assumptions baked into this workbook</t>
        </is>
      </c>
    </row>
    <row r="55" ht="28" customHeight="1">
      <c r="B55" s="14" t="inlineStr">
        <is>
          <t>1.</t>
        </is>
      </c>
      <c r="C55" s="16" t="inlineStr">
        <is>
          <t>Company code GBKM and the FEBAN transaction are taken from the requester's instruction, not from the auditor's workbook, which names neither.</t>
        </is>
      </c>
    </row>
    <row r="56" ht="28" customHeight="1">
      <c r="B56" s="14" t="inlineStr">
        <is>
          <t>2.</t>
        </is>
      </c>
      <c r="C56" s="16" t="inlineStr">
        <is>
          <t>The FEBAN statement-date range for each sample is the first to the last calendar day of the month containing that sample's payment date (column C and D formulas on 'Samples').</t>
        </is>
      </c>
    </row>
    <row r="57" ht="28" customHeight="1">
      <c r="B57" s="14" t="inlineStr">
        <is>
          <t>3.</t>
        </is>
      </c>
      <c r="C57" s="16" t="inlineStr">
        <is>
          <t>Sample amounts are stored as positive numbers. The auditor's workbook shows them unsigned even where the bank statement shows a debit.</t>
        </is>
      </c>
    </row>
    <row r="58" ht="28" customHeight="1">
      <c r="B58" s="14" t="inlineStr">
        <is>
          <t>4.</t>
        </is>
      </c>
      <c r="C58" s="16" t="inlineStr">
        <is>
          <t>Source of the sample list: 'Paper Samples' sheet, rows 5-60, of Samples_Paper_SURL260716_152455.962.xlsx as supplied by the auditor.</t>
        </is>
      </c>
    </row>
  </sheetData>
  <mergeCells count="4">
    <mergeCell ref="C55:D55"/>
    <mergeCell ref="C56:D56"/>
    <mergeCell ref="C57:D57"/>
    <mergeCell ref="C58:D58"/>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69"/>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Posting status column. VERIFY</t>
        </is>
      </c>
      <c r="D19" s="24" t="inlineStr">
        <is>
          <t>VERIFY</t>
        </is>
      </c>
      <c r="E19" s="22" t="inlineStr">
        <is>
          <t>No</t>
        </is>
      </c>
      <c r="F19" s="23" t="inlineStr">
        <is>
          <t>ESTAT</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Bank reference / note-to-payee, logged as context. VERIFY</t>
        </is>
      </c>
      <c r="D21" s="24" t="inlineStr">
        <is>
          <t>VERIFY</t>
        </is>
      </c>
      <c r="E21" s="22" t="inlineStr">
        <is>
          <t>No</t>
        </is>
      </c>
      <c r="F21" s="23" t="inlineStr">
        <is>
          <t>SGTXT</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18" t="inlineStr">
        <is>
          <t>Step 6: Environment &gt; Payment Usage</t>
        </is>
      </c>
      <c r="C34" s="19" t="n"/>
      <c r="D34" s="19" t="n"/>
      <c r="E34" s="19" t="n"/>
      <c r="F34" s="19" t="n"/>
    </row>
    <row r="35">
      <c r="B35" s="20" t="inlineStr">
        <is>
          <t>PaymentUsage.Menu</t>
        </is>
      </c>
      <c r="C35" s="12" t="inlineStr">
        <is>
          <t>Menu path to the batch's payment documents. Confirmed in all four recordings</t>
        </is>
      </c>
      <c r="D35" s="21" t="inlineStr">
        <is>
          <t>recorded</t>
        </is>
      </c>
      <c r="E35" s="22" t="inlineStr">
        <is>
          <t>Yes</t>
        </is>
      </c>
      <c r="F35" s="23" t="inlineStr">
        <is>
          <t>wnd[0]/mbar/menu[5]/menu[3]</t>
        </is>
      </c>
    </row>
    <row r="36">
      <c r="B36" s="20" t="inlineStr">
        <is>
          <t>PaymentUsage.ListAnchor</t>
        </is>
      </c>
      <c r="C36" s="12" t="inlineStr">
        <is>
          <t>An element that exists on that list, used only to confirm the menu landed. Clear it to skip the check</t>
        </is>
      </c>
      <c r="D36" s="21" t="inlineStr">
        <is>
          <t>recorded</t>
        </is>
      </c>
      <c r="E36" s="22" t="inlineStr">
        <is>
          <t>No</t>
        </is>
      </c>
      <c r="F36" s="23" t="inlineStr">
        <is>
          <t>wnd[0]/usr/chk[1,6]</t>
        </is>
      </c>
    </row>
    <row r="37">
      <c r="B37" s="18" t="inlineStr">
        <is>
          <t>Step 7: classic list export (List &gt; Save/Send &gt; File)</t>
        </is>
      </c>
      <c r="C37" s="19" t="n"/>
      <c r="D37" s="19" t="n"/>
      <c r="E37" s="19" t="n"/>
      <c r="F37" s="19" t="n"/>
    </row>
    <row r="38">
      <c r="B38" s="20" t="inlineStr">
        <is>
          <t>Export.ListMenu</t>
        </is>
      </c>
      <c r="C38" s="12" t="inlineStr">
        <is>
          <t>Menu path that opens the save-list dialog</t>
        </is>
      </c>
      <c r="D38" s="21" t="inlineStr">
        <is>
          <t>recorded</t>
        </is>
      </c>
      <c r="E38" s="22" t="inlineStr">
        <is>
          <t>Yes</t>
        </is>
      </c>
      <c r="F38" s="23" t="inlineStr">
        <is>
          <t>wnd[0]/mbar/menu[0]/menu[3]/menu[1]</t>
        </is>
      </c>
    </row>
    <row r="39">
      <c r="B39" s="20" t="inlineStr">
        <is>
          <t>Export.FormatOkButton</t>
        </is>
      </c>
      <c r="C39" s="12" t="inlineStr">
        <is>
          <t>Confirm the file-format popup</t>
        </is>
      </c>
      <c r="D39" s="21" t="inlineStr">
        <is>
          <t>recorded</t>
        </is>
      </c>
      <c r="E39" s="22" t="inlineStr">
        <is>
          <t>Yes</t>
        </is>
      </c>
      <c r="F39" s="23" t="inlineStr">
        <is>
          <t>wnd[1]/tbar[0]/btn[0]</t>
        </is>
      </c>
    </row>
    <row r="40">
      <c r="B40" s="20" t="inlineStr">
        <is>
          <t>Save.Path</t>
        </is>
      </c>
      <c r="C40" s="12" t="inlineStr">
        <is>
          <t>Directory field</t>
        </is>
      </c>
      <c r="D40" s="21" t="inlineStr">
        <is>
          <t>recorded</t>
        </is>
      </c>
      <c r="E40" s="22" t="inlineStr">
        <is>
          <t>Yes</t>
        </is>
      </c>
      <c r="F40" s="23" t="inlineStr">
        <is>
          <t>wnd[1]/usr/ctxtDY_PATH</t>
        </is>
      </c>
    </row>
    <row r="41">
      <c r="B41" s="20" t="inlineStr">
        <is>
          <t>Save.FileName</t>
        </is>
      </c>
      <c r="C41" s="12" t="inlineStr">
        <is>
          <t>File name field. Confirmed in Audit2.vbs and Audit5.vbs</t>
        </is>
      </c>
      <c r="D41" s="21" t="inlineStr">
        <is>
          <t>recorded</t>
        </is>
      </c>
      <c r="E41" s="22" t="inlineStr">
        <is>
          <t>Yes</t>
        </is>
      </c>
      <c r="F41" s="23" t="inlineStr">
        <is>
          <t>wnd[1]/usr/ctxtDY_FILENAME</t>
        </is>
      </c>
    </row>
    <row r="42">
      <c r="B42" s="20" t="inlineStr">
        <is>
          <t>Save.Encoding</t>
        </is>
      </c>
      <c r="C42" s="12" t="inlineStr">
        <is>
          <t>Encoding field, where present. VERIFY</t>
        </is>
      </c>
      <c r="D42" s="24" t="inlineStr">
        <is>
          <t>VERIFY</t>
        </is>
      </c>
      <c r="E42" s="22" t="inlineStr">
        <is>
          <t>No</t>
        </is>
      </c>
      <c r="F42" s="23" t="inlineStr">
        <is>
          <t>wnd[1]/usr/ctxtDY_FILE_ENCODING</t>
        </is>
      </c>
    </row>
    <row r="43">
      <c r="B43" s="20" t="inlineStr">
        <is>
          <t>Save.GenerateButton</t>
        </is>
      </c>
      <c r="C43" s="12" t="inlineStr">
        <is>
          <t>Confirm the save. btn[0], not btn[11]</t>
        </is>
      </c>
      <c r="D43" s="21" t="inlineStr">
        <is>
          <t>recorded</t>
        </is>
      </c>
      <c r="E43" s="22" t="inlineStr">
        <is>
          <t>Yes</t>
        </is>
      </c>
      <c r="F43" s="23" t="inlineStr">
        <is>
          <t>wnd[1]/tbar[0]/btn[0]</t>
        </is>
      </c>
    </row>
    <row r="44">
      <c r="B44" s="18" t="inlineStr">
        <is>
          <t>Steps 8-9: FBL1N, the ZP payments of the batch (PREDICTED)</t>
        </is>
      </c>
      <c r="C44" s="19" t="n"/>
      <c r="D44" s="19" t="n"/>
      <c r="E44" s="19" t="n"/>
      <c r="F44" s="19" t="n"/>
    </row>
    <row r="45">
      <c r="B45" s="20" t="inlineStr">
        <is>
          <t>Fbl1n.CompanyCode</t>
        </is>
      </c>
      <c r="C45" s="12" t="inlineStr">
        <is>
          <t>Company code. PREDICTED from standard RFITEMAP -- no recording reaches FBL1N. Run modProbe.ProbeCurrentScreen on the FBL1N selection screen to check every Fbl1n.* row at once</t>
        </is>
      </c>
      <c r="D45" s="25" t="inlineStr">
        <is>
          <t>PREDICTED</t>
        </is>
      </c>
      <c r="E45" s="22" t="inlineStr">
        <is>
          <t>No</t>
        </is>
      </c>
      <c r="F45" s="23" t="inlineStr">
        <is>
          <t>wnd[0]/usr/ctxtDD_BUKRS-LOW</t>
        </is>
      </c>
    </row>
    <row r="46">
      <c r="B46" s="20" t="inlineStr">
        <is>
          <t>Fbl1n.AllItemsRadio</t>
        </is>
      </c>
      <c r="C46" s="12" t="inlineStr">
        <is>
          <t>'All items' radio. PREDICTED</t>
        </is>
      </c>
      <c r="D46" s="25" t="inlineStr">
        <is>
          <t>PREDICTED</t>
        </is>
      </c>
      <c r="E46" s="22" t="inlineStr">
        <is>
          <t>No</t>
        </is>
      </c>
      <c r="F46" s="23" t="inlineStr">
        <is>
          <t>wnd[0]/usr/radX_AISEL</t>
        </is>
      </c>
    </row>
    <row r="47">
      <c r="B47" s="20" t="inlineStr">
        <is>
          <t>Fbl1n.PostingDateFrom</t>
        </is>
      </c>
      <c r="C47" s="12" t="inlineStr">
        <is>
          <t>Posting date, low. PREDICTED</t>
        </is>
      </c>
      <c r="D47" s="25" t="inlineStr">
        <is>
          <t>PREDICTED</t>
        </is>
      </c>
      <c r="E47" s="22" t="inlineStr">
        <is>
          <t>No</t>
        </is>
      </c>
      <c r="F47" s="23" t="inlineStr">
        <is>
          <t>wnd[0]/usr/ctxtSO_BUDAT-LOW</t>
        </is>
      </c>
    </row>
    <row r="48">
      <c r="B48" s="20" t="inlineStr">
        <is>
          <t>Fbl1n.PostingDateTo</t>
        </is>
      </c>
      <c r="C48" s="12" t="inlineStr">
        <is>
          <t>Posting date, high. PREDICTED</t>
        </is>
      </c>
      <c r="D48" s="25" t="inlineStr">
        <is>
          <t>PREDICTED</t>
        </is>
      </c>
      <c r="E48" s="22" t="inlineStr">
        <is>
          <t>No</t>
        </is>
      </c>
      <c r="F48" s="23" t="inlineStr">
        <is>
          <t>wnd[0]/usr/ctxtSO_BUDAT-HIGH</t>
        </is>
      </c>
    </row>
    <row r="49">
      <c r="B49" s="20" t="inlineStr">
        <is>
          <t>Fbl1n.DocNumberFrom</t>
        </is>
      </c>
      <c r="C49" s="12" t="inlineStr">
        <is>
          <t>Document number, single value. NOTE: on standard FBL1N the document number lives in dynamic selections, not the main screen -- if the probe cannot find this, leave the whole Fbl1n block blank and use the fallback described in the README. PREDICTED</t>
        </is>
      </c>
      <c r="D49" s="25" t="inlineStr">
        <is>
          <t>PREDICTED</t>
        </is>
      </c>
      <c r="E49" s="22" t="inlineStr">
        <is>
          <t>No</t>
        </is>
      </c>
      <c r="F49" s="23" t="inlineStr">
        <is>
          <t>wnd[0]/usr/ctxtSO_BELNR-LOW</t>
        </is>
      </c>
    </row>
    <row r="50">
      <c r="B50" s="20" t="inlineStr">
        <is>
          <t>Fbl1n.DocNumberMultiSelect</t>
        </is>
      </c>
      <c r="C50" s="12" t="inlineStr">
        <is>
          <t>The arrow button beside it that opens multiple selection. PREDICTED</t>
        </is>
      </c>
      <c r="D50" s="25" t="inlineStr">
        <is>
          <t>PREDICTED</t>
        </is>
      </c>
      <c r="E50" s="22" t="inlineStr">
        <is>
          <t>No</t>
        </is>
      </c>
      <c r="F50" s="23" t="inlineStr">
        <is>
          <t>wnd[0]/usr/btn%_SO_BELNR_%_APP_%-VALU_PUSH</t>
        </is>
      </c>
    </row>
    <row r="51">
      <c r="B51" s="20" t="inlineStr">
        <is>
          <t>MultiSel.PasteFromClipboard</t>
        </is>
      </c>
      <c r="C51" s="12" t="inlineStr">
        <is>
          <t>'Upload from clipboard' on the multiple-selection dialog. PREDICTED</t>
        </is>
      </c>
      <c r="D51" s="25" t="inlineStr">
        <is>
          <t>PREDICTED</t>
        </is>
      </c>
      <c r="E51" s="22" t="inlineStr">
        <is>
          <t>No</t>
        </is>
      </c>
      <c r="F51" s="23" t="inlineStr">
        <is>
          <t>wnd[1]/tbar[0]/btn[24]</t>
        </is>
      </c>
    </row>
    <row r="52">
      <c r="B52" s="20" t="inlineStr">
        <is>
          <t>MultiSel.Confirm</t>
        </is>
      </c>
      <c r="C52" s="12" t="inlineStr">
        <is>
          <t>Copy/Execute on that dialog. PREDICTED</t>
        </is>
      </c>
      <c r="D52" s="25" t="inlineStr">
        <is>
          <t>PREDICTED</t>
        </is>
      </c>
      <c r="E52" s="22" t="inlineStr">
        <is>
          <t>No</t>
        </is>
      </c>
      <c r="F52" s="23" t="inlineStr">
        <is>
          <t>wnd[1]/tbar[0]/btn[8]</t>
        </is>
      </c>
    </row>
    <row r="53">
      <c r="B53" s="20" t="inlineStr">
        <is>
          <t>Fbl1n.ExecuteButton</t>
        </is>
      </c>
      <c r="C53" s="12" t="inlineStr">
        <is>
          <t>Execute. PREDICTED</t>
        </is>
      </c>
      <c r="D53" s="25" t="inlineStr">
        <is>
          <t>PREDICTED</t>
        </is>
      </c>
      <c r="E53" s="22" t="inlineStr">
        <is>
          <t>No</t>
        </is>
      </c>
      <c r="F53" s="23" t="inlineStr">
        <is>
          <t>wnd[0]/tbar[1]/btn[8]</t>
        </is>
      </c>
    </row>
    <row r="54">
      <c r="B54" s="20" t="inlineStr">
        <is>
          <t>Fbl1n.ResultGrid</t>
        </is>
      </c>
      <c r="C54" s="12" t="inlineStr">
        <is>
          <t>ALV grid of vendor line items. PREDICTED</t>
        </is>
      </c>
      <c r="D54" s="25" t="inlineStr">
        <is>
          <t>PREDICTED</t>
        </is>
      </c>
      <c r="E54" s="22" t="inlineStr">
        <is>
          <t>No</t>
        </is>
      </c>
      <c r="F54" s="23" t="inlineStr">
        <is>
          <t>wnd[0]/usr/cntlCONTAINER/shellcont/shell</t>
        </is>
      </c>
    </row>
    <row r="55">
      <c r="B55" s="20" t="inlineStr">
        <is>
          <t>Fbl1n.Col.Amount</t>
        </is>
      </c>
      <c r="C55" s="12" t="inlineStr">
        <is>
          <t>DC amount column. PREDICTED</t>
        </is>
      </c>
      <c r="D55" s="25" t="inlineStr">
        <is>
          <t>PREDICTED</t>
        </is>
      </c>
      <c r="E55" s="22" t="inlineStr">
        <is>
          <t>No</t>
        </is>
      </c>
      <c r="F55" s="23" t="inlineStr">
        <is>
          <t>DMSHB</t>
        </is>
      </c>
    </row>
    <row r="56">
      <c r="B56" s="20" t="inlineStr">
        <is>
          <t>Fbl1n.Col.DocNumber</t>
        </is>
      </c>
      <c r="C56" s="12" t="inlineStr">
        <is>
          <t>Document number column. PREDICTED</t>
        </is>
      </c>
      <c r="D56" s="25" t="inlineStr">
        <is>
          <t>PREDICTED</t>
        </is>
      </c>
      <c r="E56" s="22" t="inlineStr">
        <is>
          <t>No</t>
        </is>
      </c>
      <c r="F56" s="23" t="inlineStr">
        <is>
          <t>BELNR</t>
        </is>
      </c>
    </row>
    <row r="57">
      <c r="B57" s="20" t="inlineStr">
        <is>
          <t>Fbl1n.Col.Vendor</t>
        </is>
      </c>
      <c r="C57" s="12" t="inlineStr">
        <is>
          <t>Vendor account column. PREDICTED</t>
        </is>
      </c>
      <c r="D57" s="25" t="inlineStr">
        <is>
          <t>PREDICTED</t>
        </is>
      </c>
      <c r="E57" s="22" t="inlineStr">
        <is>
          <t>No</t>
        </is>
      </c>
      <c r="F57" s="23" t="inlineStr">
        <is>
          <t>LIFNR</t>
        </is>
      </c>
    </row>
    <row r="58">
      <c r="B58" s="20" t="inlineStr">
        <is>
          <t>Fbl1n.Col.VendorName</t>
        </is>
      </c>
      <c r="C58" s="12" t="inlineStr">
        <is>
          <t>Vendor name column. PREDICTED</t>
        </is>
      </c>
      <c r="D58" s="25" t="inlineStr">
        <is>
          <t>PREDICTED</t>
        </is>
      </c>
      <c r="E58" s="22" t="inlineStr">
        <is>
          <t>No</t>
        </is>
      </c>
      <c r="F58" s="23" t="inlineStr">
        <is>
          <t>NAME1</t>
        </is>
      </c>
    </row>
    <row r="59">
      <c r="B59" s="18" t="inlineStr">
        <is>
          <t>Step 10: the invoice PDF (NOT RECORDED)</t>
        </is>
      </c>
      <c r="C59" s="19" t="n"/>
      <c r="D59" s="19" t="n"/>
      <c r="E59" s="19" t="n"/>
      <c r="F59" s="19" t="n"/>
    </row>
    <row r="60">
      <c r="B60" s="20" t="inlineStr">
        <is>
          <t>Invoice.GosToolbox</t>
        </is>
      </c>
      <c r="C60" s="12" t="inlineStr">
        <is>
          <t>Services-for-object toolbox on the title bar. PREDICTED</t>
        </is>
      </c>
      <c r="D60" s="25" t="inlineStr">
        <is>
          <t>PREDICTED</t>
        </is>
      </c>
      <c r="E60" s="22" t="inlineStr">
        <is>
          <t>No</t>
        </is>
      </c>
      <c r="F60" s="23" t="inlineStr">
        <is>
          <t>wnd[0]/titl/shellcont/shell</t>
        </is>
      </c>
    </row>
    <row r="61">
      <c r="B61" s="20" t="inlineStr">
        <is>
          <t>Invoice.AttachListGrid</t>
        </is>
      </c>
      <c r="C61" s="12" t="inlineStr">
        <is>
          <t>Attachment-list grid. PREDICTED</t>
        </is>
      </c>
      <c r="D61" s="25" t="inlineStr">
        <is>
          <t>PREDICTED</t>
        </is>
      </c>
      <c r="E61" s="22" t="inlineStr">
        <is>
          <t>No</t>
        </is>
      </c>
      <c r="F61" s="23" t="inlineStr">
        <is>
          <t>wnd[1]/usr/cntlCONTAINER/shellcont/shell</t>
        </is>
      </c>
    </row>
    <row r="62">
      <c r="B62" s="20" t="inlineStr">
        <is>
          <t>Invoice.SaveButton</t>
        </is>
      </c>
      <c r="C62" s="12" t="inlineStr">
        <is>
          <t>Save/export button on the attachment list. PREDICTED</t>
        </is>
      </c>
      <c r="D62" s="25" t="inlineStr">
        <is>
          <t>PREDICTED</t>
        </is>
      </c>
      <c r="E62" s="22" t="inlineStr">
        <is>
          <t>No</t>
        </is>
      </c>
      <c r="F62" s="23" t="inlineStr">
        <is>
          <t>wnd[1]/tbar[0]/btn[5]</t>
        </is>
      </c>
    </row>
    <row r="63">
      <c r="B63" s="18" t="inlineStr">
        <is>
          <t>Step 10, Santander SCF only: the extra hop (NOT RECORDED)</t>
        </is>
      </c>
      <c r="C63" s="19" t="n"/>
      <c r="D63" s="19" t="n"/>
      <c r="E63" s="19" t="n"/>
      <c r="F63" s="19" t="n"/>
    </row>
    <row r="64">
      <c r="B64" s="20" t="inlineStr">
        <is>
          <t>Scf.OpenInvoices</t>
        </is>
      </c>
      <c r="C64" s="12" t="inlineStr">
        <is>
          <t>How you get from the SCF payment to the invoices it settled. A menu entry, a button, or a field to focus and F2 -- the macro reads the control type and does the right thing. BLOCKED: no recording covers it</t>
        </is>
      </c>
      <c r="D64" s="26" t="inlineStr">
        <is>
          <t>BLOCKED</t>
        </is>
      </c>
      <c r="E64" s="22" t="inlineStr">
        <is>
          <t>No</t>
        </is>
      </c>
      <c r="F64" s="23" t="n"/>
    </row>
    <row r="65">
      <c r="B65" s="20" t="inlineStr">
        <is>
          <t>Scf.InvoiceListMenu</t>
        </is>
      </c>
      <c r="C65" s="12" t="inlineStr">
        <is>
          <t>Menu path that lists those invoices. BLOCKED</t>
        </is>
      </c>
      <c r="D65" s="26" t="inlineStr">
        <is>
          <t>BLOCKED</t>
        </is>
      </c>
      <c r="E65" s="22" t="inlineStr">
        <is>
          <t>No</t>
        </is>
      </c>
      <c r="F65" s="23" t="n"/>
    </row>
    <row r="67" ht="30" customHeight="1">
      <c r="B67" s="16" t="inlineStr">
        <is>
          <t>The macro reads column F only. A blank 'Required = Yes' row aborts the run with a message naming the missing key, rather than guessing at an ID.</t>
        </is>
      </c>
    </row>
    <row r="68" ht="30" customHeight="1">
      <c r="B68" s="16" t="inlineStr">
        <is>
          <t>FEBAN's selection screen is a modal popup on this system (wnd[1]), not a full screen. That is why FEBAN.SelectionWindow exists -- the macro has to know which window to press Execute in.</t>
        </is>
      </c>
    </row>
    <row r="69" ht="30" customHeight="1">
      <c r="B69"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44:F44"/>
    <mergeCell ref="B68:F68"/>
    <mergeCell ref="B69:F69"/>
    <mergeCell ref="B6:F6"/>
    <mergeCell ref="B34:F34"/>
    <mergeCell ref="B15:F15"/>
    <mergeCell ref="B28:F28"/>
    <mergeCell ref="B3:F3"/>
    <mergeCell ref="B59:F59"/>
    <mergeCell ref="B37:F37"/>
    <mergeCell ref="B67:F67"/>
    <mergeCell ref="B63:F63"/>
    <mergeCell ref="B22:F22"/>
    <mergeCell ref="B32:F32"/>
    <mergeCell ref="B26:F26"/>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7">
        <f>IF($E5="","",DATE(YEAR($E5),MONTH($E5),1))</f>
        <v/>
      </c>
      <c r="D5" s="27">
        <f>IF($E5="","",EOMONTH($E5,0))</f>
        <v/>
      </c>
      <c r="E5" s="27" t="n">
        <v>45903</v>
      </c>
      <c r="F5" s="28" t="n">
        <v>8072447.42</v>
      </c>
      <c r="G5" s="10" t="inlineStr"/>
      <c r="H5" s="10" t="inlineStr">
        <is>
          <t>ACH PYMTS - LCL BULK FNDG</t>
        </is>
      </c>
      <c r="I5" s="29" t="inlineStr">
        <is>
          <t>ref_whitespace_cleaned; no_named_beneficiary</t>
        </is>
      </c>
      <c r="J5" s="15" t="n"/>
      <c r="K5" s="15" t="n"/>
      <c r="L5" s="15" t="n"/>
      <c r="M5" s="15" t="n"/>
      <c r="N5" s="30" t="n"/>
      <c r="O5" s="15" t="n"/>
      <c r="P5" s="31" t="inlineStr">
        <is>
          <t>Yes</t>
        </is>
      </c>
    </row>
    <row r="6">
      <c r="A6" s="10" t="n">
        <v>2</v>
      </c>
      <c r="B6" s="10" t="inlineStr">
        <is>
          <t>Sep 25</t>
        </is>
      </c>
      <c r="C6" s="27">
        <f>IF($E6="","",DATE(YEAR($E6),MONTH($E6),1))</f>
        <v/>
      </c>
      <c r="D6" s="27">
        <f>IF($E6="","",EOMONTH($E6,0))</f>
        <v/>
      </c>
      <c r="E6" s="27" t="n">
        <v>45912</v>
      </c>
      <c r="F6" s="28" t="n">
        <v>2161788.23</v>
      </c>
      <c r="G6" s="10" t="inlineStr">
        <is>
          <t>DS SMITH LTD</t>
        </is>
      </c>
      <c r="H6" s="10" t="inlineStr">
        <is>
          <t>ISSUE CHAPS PAYMENT</t>
        </is>
      </c>
      <c r="I6" s="29" t="inlineStr">
        <is>
          <t>ref_whitespace_cleaned</t>
        </is>
      </c>
      <c r="J6" s="15" t="n"/>
      <c r="K6" s="15" t="n"/>
      <c r="L6" s="15" t="n"/>
      <c r="M6" s="15" t="n"/>
      <c r="N6" s="30" t="n"/>
      <c r="O6" s="15" t="n"/>
      <c r="P6" s="31" t="inlineStr">
        <is>
          <t>Yes</t>
        </is>
      </c>
    </row>
    <row r="7">
      <c r="A7" s="10" t="n">
        <v>3</v>
      </c>
      <c r="B7" s="10" t="inlineStr">
        <is>
          <t>Sep 25</t>
        </is>
      </c>
      <c r="C7" s="27">
        <f>IF($E7="","",DATE(YEAR($E7),MONTH($E7),1))</f>
        <v/>
      </c>
      <c r="D7" s="27">
        <f>IF($E7="","",EOMONTH($E7,0))</f>
        <v/>
      </c>
      <c r="E7" s="27" t="n">
        <v>45915</v>
      </c>
      <c r="F7" s="28" t="n">
        <v>5988033.6</v>
      </c>
      <c r="G7" s="10" t="inlineStr"/>
      <c r="H7" s="10" t="inlineStr">
        <is>
          <t>ACH PYMTS - LCL BULK FNDG</t>
        </is>
      </c>
      <c r="I7" s="29" t="inlineStr">
        <is>
          <t>ref_whitespace_cleaned; no_named_beneficiary</t>
        </is>
      </c>
      <c r="J7" s="15" t="n"/>
      <c r="K7" s="15" t="n"/>
      <c r="L7" s="15" t="n"/>
      <c r="M7" s="15" t="n"/>
      <c r="N7" s="30" t="n"/>
      <c r="O7" s="15" t="n"/>
      <c r="P7" s="31" t="inlineStr">
        <is>
          <t>Yes</t>
        </is>
      </c>
    </row>
    <row r="8">
      <c r="A8" s="10" t="n">
        <v>4</v>
      </c>
      <c r="B8" s="10" t="inlineStr">
        <is>
          <t>Sep 25</t>
        </is>
      </c>
      <c r="C8" s="27">
        <f>IF($E8="","",DATE(YEAR($E8),MONTH($E8),1))</f>
        <v/>
      </c>
      <c r="D8" s="27">
        <f>IF($E8="","",EOMONTH($E8,0))</f>
        <v/>
      </c>
      <c r="E8" s="27" t="n">
        <v>45922</v>
      </c>
      <c r="F8" s="28" t="n">
        <v>2942842.52</v>
      </c>
      <c r="G8" s="10" t="inlineStr"/>
      <c r="H8" s="10" t="inlineStr">
        <is>
          <t>ACH PYMTS - LCL BULK FNDG</t>
        </is>
      </c>
      <c r="I8" s="29" t="inlineStr">
        <is>
          <t>ref_whitespace_cleaned; no_named_beneficiary</t>
        </is>
      </c>
      <c r="J8" s="15" t="n"/>
      <c r="K8" s="15" t="n"/>
      <c r="L8" s="15" t="n"/>
      <c r="M8" s="15" t="n"/>
      <c r="N8" s="30" t="n"/>
      <c r="O8" s="15" t="n"/>
      <c r="P8" s="31" t="inlineStr">
        <is>
          <t>Yes</t>
        </is>
      </c>
    </row>
    <row r="9">
      <c r="A9" s="10" t="n">
        <v>5</v>
      </c>
      <c r="B9" s="10" t="inlineStr">
        <is>
          <t>Sep 25</t>
        </is>
      </c>
      <c r="C9" s="27">
        <f>IF($E9="","",DATE(YEAR($E9),MONTH($E9),1))</f>
        <v/>
      </c>
      <c r="D9" s="27">
        <f>IF($E9="","",EOMONTH($E9,0))</f>
        <v/>
      </c>
      <c r="E9" s="27" t="n">
        <v>45924</v>
      </c>
      <c r="F9" s="28" t="n">
        <v>8617262.93</v>
      </c>
      <c r="G9" s="10" t="inlineStr">
        <is>
          <t>DS Smith Paper Limited</t>
        </is>
      </c>
      <c r="H9" s="10" t="inlineStr">
        <is>
          <t>ISSUE CHAPS PAYMENT</t>
        </is>
      </c>
      <c r="I9" s="29" t="inlineStr">
        <is>
          <t>ref_whitespace_cleaned; party_whitespace_cleaned</t>
        </is>
      </c>
      <c r="J9" s="15" t="n"/>
      <c r="K9" s="15" t="n"/>
      <c r="L9" s="15" t="n"/>
      <c r="M9" s="15" t="n"/>
      <c r="N9" s="30" t="n"/>
      <c r="O9" s="15" t="n"/>
      <c r="P9" s="31" t="inlineStr">
        <is>
          <t>Yes</t>
        </is>
      </c>
    </row>
    <row r="10">
      <c r="A10" s="10" t="n">
        <v>6</v>
      </c>
      <c r="B10" s="10" t="inlineStr">
        <is>
          <t>Sep 25</t>
        </is>
      </c>
      <c r="C10" s="27">
        <f>IF($E10="","",DATE(YEAR($E10),MONTH($E10),1))</f>
        <v/>
      </c>
      <c r="D10" s="27">
        <f>IF($E10="","",EOMONTH($E10,0))</f>
        <v/>
      </c>
      <c r="E10" s="27" t="n">
        <v>45925</v>
      </c>
      <c r="F10" s="28" t="n">
        <v>2968313.21</v>
      </c>
      <c r="G10" s="10" t="inlineStr">
        <is>
          <t>DS Smith Paper Limited</t>
        </is>
      </c>
      <c r="H10" s="10" t="inlineStr">
        <is>
          <t>ISSUE CHAPS PAYMENT</t>
        </is>
      </c>
      <c r="I10" s="29" t="inlineStr">
        <is>
          <t>party_whitespace_cleaned</t>
        </is>
      </c>
      <c r="J10" s="15" t="n"/>
      <c r="K10" s="15" t="n"/>
      <c r="L10" s="15" t="n"/>
      <c r="M10" s="15" t="n"/>
      <c r="N10" s="30" t="n"/>
      <c r="O10" s="15" t="n"/>
      <c r="P10" s="31" t="inlineStr">
        <is>
          <t>Yes</t>
        </is>
      </c>
    </row>
    <row r="11">
      <c r="A11" s="10" t="n">
        <v>7</v>
      </c>
      <c r="B11" s="10" t="inlineStr">
        <is>
          <t>Sep 25</t>
        </is>
      </c>
      <c r="C11" s="27">
        <f>IF($E11="","",DATE(YEAR($E11),MONTH($E11),1))</f>
        <v/>
      </c>
      <c r="D11" s="27">
        <f>IF($E11="","",EOMONTH($E11,0))</f>
        <v/>
      </c>
      <c r="E11" s="27" t="n">
        <v>45930</v>
      </c>
      <c r="F11" s="28" t="n">
        <v>2450000</v>
      </c>
      <c r="G11" s="10" t="inlineStr">
        <is>
          <t>DS SMITH LTD</t>
        </is>
      </c>
      <c r="H11" s="10" t="inlineStr">
        <is>
          <t>ISSUE CHAPS PAYMENT</t>
        </is>
      </c>
      <c r="I11" s="29" t="inlineStr">
        <is>
          <t>ref_whitespace_cleaned; party_whitespace_cleaned</t>
        </is>
      </c>
      <c r="J11" s="15" t="n"/>
      <c r="K11" s="15" t="n"/>
      <c r="L11" s="15" t="n"/>
      <c r="M11" s="15" t="n"/>
      <c r="N11" s="30" t="n"/>
      <c r="O11" s="15" t="n"/>
      <c r="P11" s="31" t="inlineStr">
        <is>
          <t>Yes</t>
        </is>
      </c>
    </row>
    <row r="12">
      <c r="A12" s="10" t="n">
        <v>8</v>
      </c>
      <c r="B12" s="10" t="inlineStr">
        <is>
          <t>Oct 25</t>
        </is>
      </c>
      <c r="C12" s="27">
        <f>IF($E12="","",DATE(YEAR($E12),MONTH($E12),1))</f>
        <v/>
      </c>
      <c r="D12" s="27">
        <f>IF($E12="","",EOMONTH($E12,0))</f>
        <v/>
      </c>
      <c r="E12" s="27" t="n">
        <v>45931</v>
      </c>
      <c r="F12" s="28" t="n">
        <v>4483676.08</v>
      </c>
      <c r="G12" s="10" t="inlineStr">
        <is>
          <t>SANTANDER SCF</t>
        </is>
      </c>
      <c r="H12" s="10" t="inlineStr">
        <is>
          <t>ISSUE CHAPS PAYMENT</t>
        </is>
      </c>
      <c r="I12" s="29" t="inlineStr">
        <is>
          <t>ref_whitespace_cleaned; party_whitespace_cleaned</t>
        </is>
      </c>
      <c r="J12" s="15" t="n"/>
      <c r="K12" s="15" t="n"/>
      <c r="L12" s="15" t="n"/>
      <c r="M12" s="15" t="n"/>
      <c r="N12" s="30" t="n"/>
      <c r="O12" s="15" t="n"/>
      <c r="P12" s="31" t="inlineStr">
        <is>
          <t>Yes</t>
        </is>
      </c>
    </row>
    <row r="13">
      <c r="A13" s="10" t="n">
        <v>9</v>
      </c>
      <c r="B13" s="10" t="inlineStr">
        <is>
          <t>Oct 25</t>
        </is>
      </c>
      <c r="C13" s="27">
        <f>IF($E13="","",DATE(YEAR($E13),MONTH($E13),1))</f>
        <v/>
      </c>
      <c r="D13" s="27">
        <f>IF($E13="","",EOMONTH($E13,0))</f>
        <v/>
      </c>
      <c r="E13" s="27" t="n">
        <v>45933</v>
      </c>
      <c r="F13" s="28" t="n">
        <v>3412038.97</v>
      </c>
      <c r="G13" s="10" t="inlineStr"/>
      <c r="H13" s="10" t="inlineStr">
        <is>
          <t>ACH PYMTS - LCL BULK FNDG</t>
        </is>
      </c>
      <c r="I13" s="29" t="inlineStr">
        <is>
          <t>ref_whitespace_cleaned; no_named_beneficiary</t>
        </is>
      </c>
      <c r="J13" s="15" t="n"/>
      <c r="K13" s="15" t="n"/>
      <c r="L13" s="15" t="n"/>
      <c r="M13" s="15" t="n"/>
      <c r="N13" s="30" t="n"/>
      <c r="O13" s="15" t="n"/>
      <c r="P13" s="31" t="inlineStr">
        <is>
          <t>Yes</t>
        </is>
      </c>
    </row>
    <row r="14">
      <c r="A14" s="10" t="n">
        <v>10</v>
      </c>
      <c r="B14" s="10" t="inlineStr">
        <is>
          <t>Oct 25</t>
        </is>
      </c>
      <c r="C14" s="27">
        <f>IF($E14="","",DATE(YEAR($E14),MONTH($E14),1))</f>
        <v/>
      </c>
      <c r="D14" s="27">
        <f>IF($E14="","",EOMONTH($E14,0))</f>
        <v/>
      </c>
      <c r="E14" s="27" t="n">
        <v>45943</v>
      </c>
      <c r="F14" s="28" t="n">
        <v>3385329.45</v>
      </c>
      <c r="G14" s="10" t="inlineStr"/>
      <c r="H14" s="10" t="inlineStr">
        <is>
          <t>ACH PYMTS - LCL BULK FNDG</t>
        </is>
      </c>
      <c r="I14" s="29" t="inlineStr">
        <is>
          <t>ref_whitespace_cleaned; no_named_beneficiary</t>
        </is>
      </c>
      <c r="J14" s="15" t="n"/>
      <c r="K14" s="15" t="n"/>
      <c r="L14" s="15" t="n"/>
      <c r="M14" s="15" t="n"/>
      <c r="N14" s="30" t="n"/>
      <c r="O14" s="15" t="n"/>
      <c r="P14" s="31" t="inlineStr">
        <is>
          <t>Yes</t>
        </is>
      </c>
    </row>
    <row r="15">
      <c r="A15" s="10" t="n">
        <v>11</v>
      </c>
      <c r="B15" s="10" t="inlineStr">
        <is>
          <t>Oct 25</t>
        </is>
      </c>
      <c r="C15" s="27">
        <f>IF($E15="","",DATE(YEAR($E15),MONTH($E15),1))</f>
        <v/>
      </c>
      <c r="D15" s="27">
        <f>IF($E15="","",EOMONTH($E15,0))</f>
        <v/>
      </c>
      <c r="E15" s="27" t="n">
        <v>45950</v>
      </c>
      <c r="F15" s="28" t="n">
        <v>4898587.92</v>
      </c>
      <c r="G15" s="10" t="inlineStr"/>
      <c r="H15" s="10" t="inlineStr">
        <is>
          <t>ACH PYMTS - LCL BULK FNDG</t>
        </is>
      </c>
      <c r="I15" s="29" t="inlineStr">
        <is>
          <t>ref_whitespace_cleaned; no_named_beneficiary</t>
        </is>
      </c>
      <c r="J15" s="15" t="n"/>
      <c r="K15" s="15" t="n"/>
      <c r="L15" s="15" t="n"/>
      <c r="M15" s="15" t="n"/>
      <c r="N15" s="30" t="n"/>
      <c r="O15" s="15" t="n"/>
      <c r="P15" s="31" t="inlineStr">
        <is>
          <t>Yes</t>
        </is>
      </c>
    </row>
    <row r="16">
      <c r="A16" s="10" t="n">
        <v>12</v>
      </c>
      <c r="B16" s="10" t="inlineStr">
        <is>
          <t>Oct 25</t>
        </is>
      </c>
      <c r="C16" s="27">
        <f>IF($E16="","",DATE(YEAR($E16),MONTH($E16),1))</f>
        <v/>
      </c>
      <c r="D16" s="27">
        <f>IF($E16="","",EOMONTH($E16,0))</f>
        <v/>
      </c>
      <c r="E16" s="27" t="n">
        <v>45954</v>
      </c>
      <c r="F16" s="28" t="n">
        <v>3480924.53</v>
      </c>
      <c r="G16" s="10" t="inlineStr">
        <is>
          <t>DS SMITH LTD</t>
        </is>
      </c>
      <c r="H16" s="10" t="inlineStr">
        <is>
          <t>ISSUE CHAPS PAYMENT</t>
        </is>
      </c>
      <c r="I16" s="29" t="inlineStr">
        <is>
          <t>date_stored_as_text; party_whitespace_cleaned</t>
        </is>
      </c>
      <c r="J16" s="15" t="n"/>
      <c r="K16" s="15" t="n"/>
      <c r="L16" s="15" t="n"/>
      <c r="M16" s="15" t="n"/>
      <c r="N16" s="30" t="n"/>
      <c r="O16" s="15" t="n"/>
      <c r="P16" s="31" t="inlineStr">
        <is>
          <t>Yes</t>
        </is>
      </c>
    </row>
    <row r="17">
      <c r="A17" s="10" t="n">
        <v>13</v>
      </c>
      <c r="B17" s="10" t="inlineStr">
        <is>
          <t>Oct 25</t>
        </is>
      </c>
      <c r="C17" s="27">
        <f>IF($E17="","",DATE(YEAR($E17),MONTH($E17),1))</f>
        <v/>
      </c>
      <c r="D17" s="27">
        <f>IF($E17="","",EOMONTH($E17,0))</f>
        <v/>
      </c>
      <c r="E17" s="27" t="n">
        <v>45957</v>
      </c>
      <c r="F17" s="28" t="n">
        <v>2614260.03</v>
      </c>
      <c r="G17" s="10" t="inlineStr">
        <is>
          <t>DS Smith Paper Limited</t>
        </is>
      </c>
      <c r="H17" s="10" t="inlineStr">
        <is>
          <t>ISSUE CHAPS PAYMENT</t>
        </is>
      </c>
      <c r="I17" s="29" t="inlineStr">
        <is>
          <t>party_whitespace_cleaned</t>
        </is>
      </c>
      <c r="J17" s="15" t="n"/>
      <c r="K17" s="15" t="n"/>
      <c r="L17" s="15" t="n"/>
      <c r="M17" s="15" t="n"/>
      <c r="N17" s="30" t="n"/>
      <c r="O17" s="15" t="n"/>
      <c r="P17" s="31" t="inlineStr">
        <is>
          <t>Yes</t>
        </is>
      </c>
    </row>
    <row r="18">
      <c r="A18" s="10" t="n">
        <v>14</v>
      </c>
      <c r="B18" s="10" t="inlineStr">
        <is>
          <t>Oct 25</t>
        </is>
      </c>
      <c r="C18" s="27">
        <f>IF($E18="","",DATE(YEAR($E18),MONTH($E18),1))</f>
        <v/>
      </c>
      <c r="D18" s="27">
        <f>IF($E18="","",EOMONTH($E18,0))</f>
        <v/>
      </c>
      <c r="E18" s="27" t="n">
        <v>45961</v>
      </c>
      <c r="F18" s="28" t="n">
        <v>2450000</v>
      </c>
      <c r="G18" s="10" t="inlineStr">
        <is>
          <t>DS SMITH LTD</t>
        </is>
      </c>
      <c r="H18" s="10" t="inlineStr">
        <is>
          <t>ISSUE CHAPS PAYMENT</t>
        </is>
      </c>
      <c r="I18" s="29" t="inlineStr">
        <is>
          <t>party_whitespace_cleaned</t>
        </is>
      </c>
      <c r="J18" s="15" t="n"/>
      <c r="K18" s="15" t="n"/>
      <c r="L18" s="15" t="n"/>
      <c r="M18" s="15" t="n"/>
      <c r="N18" s="30" t="n"/>
      <c r="O18" s="15" t="n"/>
      <c r="P18" s="31" t="inlineStr">
        <is>
          <t>Yes</t>
        </is>
      </c>
    </row>
    <row r="19">
      <c r="A19" s="10" t="n">
        <v>15</v>
      </c>
      <c r="B19" s="10" t="inlineStr">
        <is>
          <t>Oct 25</t>
        </is>
      </c>
      <c r="C19" s="27">
        <f>IF($E19="","",DATE(YEAR($E19),MONTH($E19),1))</f>
        <v/>
      </c>
      <c r="D19" s="27">
        <f>IF($E19="","",EOMONTH($E19,0))</f>
        <v/>
      </c>
      <c r="E19" s="27" t="n">
        <v>45961</v>
      </c>
      <c r="F19" s="28" t="n">
        <v>3317511.83</v>
      </c>
      <c r="G19" s="10" t="inlineStr">
        <is>
          <t>DS Smith Paper Limited</t>
        </is>
      </c>
      <c r="H19" s="10" t="inlineStr">
        <is>
          <t>ISSUE CHAPS PAYMENT</t>
        </is>
      </c>
      <c r="I19" s="29" t="inlineStr">
        <is>
          <t>party_whitespace_cleaned</t>
        </is>
      </c>
      <c r="J19" s="15" t="n"/>
      <c r="K19" s="15" t="n"/>
      <c r="L19" s="15" t="n"/>
      <c r="M19" s="15" t="n"/>
      <c r="N19" s="30" t="n"/>
      <c r="O19" s="15" t="n"/>
      <c r="P19" s="31" t="inlineStr">
        <is>
          <t>Yes</t>
        </is>
      </c>
    </row>
    <row r="20">
      <c r="A20" s="10" t="n">
        <v>16</v>
      </c>
      <c r="B20" s="10" t="inlineStr">
        <is>
          <t>Nov 25</t>
        </is>
      </c>
      <c r="C20" s="27">
        <f>IF($E20="","",DATE(YEAR($E20),MONTH($E20),1))</f>
        <v/>
      </c>
      <c r="D20" s="27">
        <f>IF($E20="","",EOMONTH($E20,0))</f>
        <v/>
      </c>
      <c r="E20" s="27" t="n">
        <v>45964</v>
      </c>
      <c r="F20" s="28" t="n">
        <v>3724798.28</v>
      </c>
      <c r="G20" s="10" t="inlineStr">
        <is>
          <t>SANTANDER SCF</t>
        </is>
      </c>
      <c r="H20" s="10" t="inlineStr">
        <is>
          <t>ISSUE CHAPS PAYMENT</t>
        </is>
      </c>
      <c r="I20" s="29" t="inlineStr"/>
      <c r="J20" s="15" t="n"/>
      <c r="K20" s="15" t="n"/>
      <c r="L20" s="15" t="n"/>
      <c r="M20" s="15" t="n"/>
      <c r="N20" s="30" t="n"/>
      <c r="O20" s="15" t="n"/>
      <c r="P20" s="31" t="inlineStr">
        <is>
          <t>Yes</t>
        </is>
      </c>
    </row>
    <row r="21">
      <c r="A21" s="10" t="n">
        <v>17</v>
      </c>
      <c r="B21" s="10" t="inlineStr">
        <is>
          <t>Nov 25</t>
        </is>
      </c>
      <c r="C21" s="27">
        <f>IF($E21="","",DATE(YEAR($E21),MONTH($E21),1))</f>
        <v/>
      </c>
      <c r="D21" s="27">
        <f>IF($E21="","",EOMONTH($E21,0))</f>
        <v/>
      </c>
      <c r="E21" s="27" t="n">
        <v>45966</v>
      </c>
      <c r="F21" s="28" t="n">
        <v>5044035.13</v>
      </c>
      <c r="G21" s="10" t="inlineStr"/>
      <c r="H21" s="10" t="inlineStr">
        <is>
          <t>ACH PYMTS - LCL BULK FNDG</t>
        </is>
      </c>
      <c r="I21" s="29" t="inlineStr">
        <is>
          <t>ref_whitespace_cleaned; no_named_beneficiary</t>
        </is>
      </c>
      <c r="J21" s="15" t="n"/>
      <c r="K21" s="15" t="n"/>
      <c r="L21" s="15" t="n"/>
      <c r="M21" s="15" t="n"/>
      <c r="N21" s="30" t="n"/>
      <c r="O21" s="15" t="n"/>
      <c r="P21" s="31" t="inlineStr">
        <is>
          <t>Yes</t>
        </is>
      </c>
    </row>
    <row r="22">
      <c r="A22" s="10" t="n">
        <v>18</v>
      </c>
      <c r="B22" s="10" t="inlineStr">
        <is>
          <t>Nov 25</t>
        </is>
      </c>
      <c r="C22" s="27">
        <f>IF($E22="","",DATE(YEAR($E22),MONTH($E22),1))</f>
        <v/>
      </c>
      <c r="D22" s="27">
        <f>IF($E22="","",EOMONTH($E22,0))</f>
        <v/>
      </c>
      <c r="E22" s="27" t="n">
        <v>45978</v>
      </c>
      <c r="F22" s="28" t="n">
        <v>5245536.51</v>
      </c>
      <c r="G22" s="10" t="inlineStr"/>
      <c r="H22" s="10" t="inlineStr">
        <is>
          <t>ACH PYMTS - LCL BULK FNDG</t>
        </is>
      </c>
      <c r="I22" s="29" t="inlineStr">
        <is>
          <t>ref_whitespace_cleaned; no_named_beneficiary</t>
        </is>
      </c>
      <c r="J22" s="15" t="n"/>
      <c r="K22" s="15" t="n"/>
      <c r="L22" s="15" t="n"/>
      <c r="M22" s="15" t="n"/>
      <c r="N22" s="30" t="n"/>
      <c r="O22" s="15" t="n"/>
      <c r="P22" s="31" t="inlineStr">
        <is>
          <t>Yes</t>
        </is>
      </c>
    </row>
    <row r="23">
      <c r="A23" s="10" t="n">
        <v>19</v>
      </c>
      <c r="B23" s="10" t="inlineStr">
        <is>
          <t>Nov 25</t>
        </is>
      </c>
      <c r="C23" s="27">
        <f>IF($E23="","",DATE(YEAR($E23),MONTH($E23),1))</f>
        <v/>
      </c>
      <c r="D23" s="27">
        <f>IF($E23="","",EOMONTH($E23,0))</f>
        <v/>
      </c>
      <c r="E23" s="27" t="n">
        <v>45989</v>
      </c>
      <c r="F23" s="28" t="n">
        <v>4173936.71</v>
      </c>
      <c r="G23" s="10" t="inlineStr">
        <is>
          <t>DS Smith Paper Limited</t>
        </is>
      </c>
      <c r="H23" s="10" t="inlineStr">
        <is>
          <t>ISSUE CHAPS PAYMENT</t>
        </is>
      </c>
      <c r="I23" s="29" t="inlineStr">
        <is>
          <t>party_whitespace_cleaned</t>
        </is>
      </c>
      <c r="J23" s="15" t="n"/>
      <c r="K23" s="15" t="n"/>
      <c r="L23" s="15" t="n"/>
      <c r="M23" s="15" t="n"/>
      <c r="N23" s="30" t="n"/>
      <c r="O23" s="15" t="n"/>
      <c r="P23" s="31" t="inlineStr">
        <is>
          <t>Yes</t>
        </is>
      </c>
    </row>
    <row r="24">
      <c r="A24" s="10" t="n">
        <v>20</v>
      </c>
      <c r="B24" s="10" t="inlineStr">
        <is>
          <t>Nov 25</t>
        </is>
      </c>
      <c r="C24" s="27">
        <f>IF($E24="","",DATE(YEAR($E24),MONTH($E24),1))</f>
        <v/>
      </c>
      <c r="D24" s="27">
        <f>IF($E24="","",EOMONTH($E24,0))</f>
        <v/>
      </c>
      <c r="E24" s="27" t="n">
        <v>45989</v>
      </c>
      <c r="F24" s="28" t="n">
        <v>2450000</v>
      </c>
      <c r="G24" s="10" t="inlineStr">
        <is>
          <t>DS SMITH LTD</t>
        </is>
      </c>
      <c r="H24" s="10" t="inlineStr">
        <is>
          <t>ISSUE CHAPS PAYMENT</t>
        </is>
      </c>
      <c r="I24" s="29" t="inlineStr">
        <is>
          <t>date_stored_as_text; ref_whitespace_cleaned; party_whitespace_cleaned</t>
        </is>
      </c>
      <c r="J24" s="15" t="n"/>
      <c r="K24" s="15" t="n"/>
      <c r="L24" s="15" t="n"/>
      <c r="M24" s="15" t="n"/>
      <c r="N24" s="30" t="n"/>
      <c r="O24" s="15" t="n"/>
      <c r="P24" s="31" t="inlineStr">
        <is>
          <t>Yes</t>
        </is>
      </c>
    </row>
    <row r="25">
      <c r="A25" s="10" t="n">
        <v>21</v>
      </c>
      <c r="B25" s="10" t="inlineStr">
        <is>
          <t>Dec 25</t>
        </is>
      </c>
      <c r="C25" s="27">
        <f>IF($E25="","",DATE(YEAR($E25),MONTH($E25),1))</f>
        <v/>
      </c>
      <c r="D25" s="27">
        <f>IF($E25="","",EOMONTH($E25,0))</f>
        <v/>
      </c>
      <c r="E25" s="27" t="n">
        <v>46020</v>
      </c>
      <c r="F25" s="28" t="n">
        <v>2828677.68</v>
      </c>
      <c r="G25" s="10" t="inlineStr">
        <is>
          <t>DS Smith Paper Limited</t>
        </is>
      </c>
      <c r="H25" s="10" t="inlineStr">
        <is>
          <t>ISSUE CHAPS PAYMENT</t>
        </is>
      </c>
      <c r="I25" s="29" t="inlineStr">
        <is>
          <t>party_whitespace_cleaned</t>
        </is>
      </c>
      <c r="J25" s="15" t="n"/>
      <c r="K25" s="15" t="n"/>
      <c r="L25" s="15" t="n"/>
      <c r="M25" s="15" t="n"/>
      <c r="N25" s="30" t="n"/>
      <c r="O25" s="15" t="n"/>
      <c r="P25" s="31" t="inlineStr">
        <is>
          <t>Yes</t>
        </is>
      </c>
    </row>
    <row r="26">
      <c r="A26" s="10" t="n">
        <v>22</v>
      </c>
      <c r="B26" s="10" t="inlineStr">
        <is>
          <t>Dec 25</t>
        </is>
      </c>
      <c r="C26" s="27">
        <f>IF($E26="","",DATE(YEAR($E26),MONTH($E26),1))</f>
        <v/>
      </c>
      <c r="D26" s="27">
        <f>IF($E26="","",EOMONTH($E26,0))</f>
        <v/>
      </c>
      <c r="E26" s="27" t="n">
        <v>46022</v>
      </c>
      <c r="F26" s="28" t="n">
        <v>2450000</v>
      </c>
      <c r="G26" s="10" t="inlineStr">
        <is>
          <t>DS SMITH LTD</t>
        </is>
      </c>
      <c r="H26" s="10" t="inlineStr">
        <is>
          <t>ISSUE CHAPS PAYMENT</t>
        </is>
      </c>
      <c r="I26" s="29" t="inlineStr">
        <is>
          <t>ref_whitespace_cleaned; party_whitespace_cleaned</t>
        </is>
      </c>
      <c r="J26" s="15" t="n"/>
      <c r="K26" s="15" t="n"/>
      <c r="L26" s="15" t="n"/>
      <c r="M26" s="15" t="n"/>
      <c r="N26" s="30" t="n"/>
      <c r="O26" s="15" t="n"/>
      <c r="P26" s="31" t="inlineStr">
        <is>
          <t>Yes</t>
        </is>
      </c>
    </row>
    <row r="27">
      <c r="A27" s="10" t="n">
        <v>23</v>
      </c>
      <c r="B27" s="10" t="inlineStr">
        <is>
          <t>Dec 25</t>
        </is>
      </c>
      <c r="C27" s="27">
        <f>IF($E27="","",DATE(YEAR($E27),MONTH($E27),1))</f>
        <v/>
      </c>
      <c r="D27" s="27">
        <f>IF($E27="","",EOMONTH($E27,0))</f>
        <v/>
      </c>
      <c r="E27" s="27" t="n">
        <v>46022</v>
      </c>
      <c r="F27" s="28" t="n">
        <v>2233241.99</v>
      </c>
      <c r="G27" s="10" t="inlineStr">
        <is>
          <t>DS Smith Paper Limited</t>
        </is>
      </c>
      <c r="H27" s="10" t="inlineStr">
        <is>
          <t>ISSUE CHAPS PAYMENT</t>
        </is>
      </c>
      <c r="I27" s="29" t="inlineStr">
        <is>
          <t>party_whitespace_cleaned</t>
        </is>
      </c>
      <c r="J27" s="15" t="n"/>
      <c r="K27" s="15" t="n"/>
      <c r="L27" s="15" t="n"/>
      <c r="M27" s="15" t="n"/>
      <c r="N27" s="30" t="n"/>
      <c r="O27" s="15" t="n"/>
      <c r="P27" s="31" t="inlineStr">
        <is>
          <t>Yes</t>
        </is>
      </c>
    </row>
    <row r="28">
      <c r="A28" s="10" t="n">
        <v>24</v>
      </c>
      <c r="B28" s="10" t="inlineStr">
        <is>
          <t>Jan 26</t>
        </is>
      </c>
      <c r="C28" s="27">
        <f>IF($E28="","",DATE(YEAR($E28),MONTH($E28),1))</f>
        <v/>
      </c>
      <c r="D28" s="27">
        <f>IF($E28="","",EOMONTH($E28,0))</f>
        <v/>
      </c>
      <c r="E28" s="27" t="n">
        <v>46024</v>
      </c>
      <c r="F28" s="28" t="n">
        <v>3489077.98</v>
      </c>
      <c r="G28" s="10" t="inlineStr">
        <is>
          <t>SANTANDER SCF</t>
        </is>
      </c>
      <c r="H28" s="10" t="inlineStr">
        <is>
          <t>ISSUE CHAPS PAYMENT</t>
        </is>
      </c>
      <c r="I28" s="29" t="inlineStr">
        <is>
          <t>ref_whitespace_cleaned</t>
        </is>
      </c>
      <c r="J28" s="15" t="n"/>
      <c r="K28" s="15" t="n"/>
      <c r="L28" s="15" t="n"/>
      <c r="M28" s="15" t="n"/>
      <c r="N28" s="30" t="n"/>
      <c r="O28" s="15" t="n"/>
      <c r="P28" s="31" t="inlineStr">
        <is>
          <t>Yes</t>
        </is>
      </c>
    </row>
    <row r="29">
      <c r="A29" s="10" t="n">
        <v>25</v>
      </c>
      <c r="B29" s="10" t="inlineStr">
        <is>
          <t>Jan 26</t>
        </is>
      </c>
      <c r="C29" s="27">
        <f>IF($E29="","",DATE(YEAR($E29),MONTH($E29),1))</f>
        <v/>
      </c>
      <c r="D29" s="27">
        <f>IF($E29="","",EOMONTH($E29,0))</f>
        <v/>
      </c>
      <c r="E29" s="27" t="n">
        <v>46028</v>
      </c>
      <c r="F29" s="28" t="n">
        <v>4395299.21</v>
      </c>
      <c r="G29" s="10" t="inlineStr"/>
      <c r="H29" s="10" t="inlineStr">
        <is>
          <t>ACH PYMTS - LCL BULK FNDG</t>
        </is>
      </c>
      <c r="I29" s="29" t="inlineStr">
        <is>
          <t>ref_whitespace_cleaned; no_named_beneficiary</t>
        </is>
      </c>
      <c r="J29" s="15" t="n"/>
      <c r="K29" s="15" t="n"/>
      <c r="L29" s="15" t="n"/>
      <c r="M29" s="15" t="n"/>
      <c r="N29" s="30" t="n"/>
      <c r="O29" s="15" t="n"/>
      <c r="P29" s="31" t="inlineStr">
        <is>
          <t>Yes</t>
        </is>
      </c>
    </row>
    <row r="30">
      <c r="A30" s="10" t="n">
        <v>26</v>
      </c>
      <c r="B30" s="10" t="inlineStr">
        <is>
          <t>Jan 26</t>
        </is>
      </c>
      <c r="C30" s="27">
        <f>IF($E30="","",DATE(YEAR($E30),MONTH($E30),1))</f>
        <v/>
      </c>
      <c r="D30" s="27">
        <f>IF($E30="","",EOMONTH($E30,0))</f>
        <v/>
      </c>
      <c r="E30" s="27" t="n">
        <v>46031</v>
      </c>
      <c r="F30" s="28" t="n">
        <v>8800991.4</v>
      </c>
      <c r="G30" s="10" t="inlineStr"/>
      <c r="H30" s="10" t="inlineStr">
        <is>
          <t>ACH PYMTS - LCL BULK FNDG</t>
        </is>
      </c>
      <c r="I30" s="29" t="inlineStr">
        <is>
          <t>ref_whitespace_cleaned; no_named_beneficiary</t>
        </is>
      </c>
      <c r="J30" s="15" t="n"/>
      <c r="K30" s="15" t="n"/>
      <c r="L30" s="15" t="n"/>
      <c r="M30" s="15" t="n"/>
      <c r="N30" s="30" t="n"/>
      <c r="O30" s="15" t="n"/>
      <c r="P30" s="31" t="inlineStr">
        <is>
          <t>Yes</t>
        </is>
      </c>
    </row>
    <row r="31">
      <c r="A31" s="10" t="n">
        <v>27</v>
      </c>
      <c r="B31" s="10" t="inlineStr">
        <is>
          <t>Jan 26</t>
        </is>
      </c>
      <c r="C31" s="27">
        <f>IF($E31="","",DATE(YEAR($E31),MONTH($E31),1))</f>
        <v/>
      </c>
      <c r="D31" s="27">
        <f>IF($E31="","",EOMONTH($E31,0))</f>
        <v/>
      </c>
      <c r="E31" s="27" t="n">
        <v>46038</v>
      </c>
      <c r="F31" s="28" t="n">
        <v>6502110.67</v>
      </c>
      <c r="G31" s="10" t="inlineStr">
        <is>
          <t>DS SMITH LTD</t>
        </is>
      </c>
      <c r="H31" s="10" t="inlineStr">
        <is>
          <t>ISSUE CHAPS PAYMENT</t>
        </is>
      </c>
      <c r="I31" s="29" t="inlineStr">
        <is>
          <t>date_stored_as_text; ref_whitespace_cleaned; party_whitespace_cleaned</t>
        </is>
      </c>
      <c r="J31" s="15" t="n"/>
      <c r="K31" s="15" t="n"/>
      <c r="L31" s="15" t="n"/>
      <c r="M31" s="15" t="n"/>
      <c r="N31" s="30" t="n"/>
      <c r="O31" s="15" t="n"/>
      <c r="P31" s="31" t="inlineStr">
        <is>
          <t>Yes</t>
        </is>
      </c>
    </row>
    <row r="32">
      <c r="A32" s="10" t="n">
        <v>28</v>
      </c>
      <c r="B32" s="10" t="inlineStr">
        <is>
          <t>Jan 26</t>
        </is>
      </c>
      <c r="C32" s="27">
        <f>IF($E32="","",DATE(YEAR($E32),MONTH($E32),1))</f>
        <v/>
      </c>
      <c r="D32" s="27">
        <f>IF($E32="","",EOMONTH($E32,0))</f>
        <v/>
      </c>
      <c r="E32" s="27" t="n">
        <v>46051</v>
      </c>
      <c r="F32" s="28" t="n">
        <v>3463573.21</v>
      </c>
      <c r="G32" s="10" t="inlineStr">
        <is>
          <t>DS SMITH LTD</t>
        </is>
      </c>
      <c r="H32" s="10" t="inlineStr">
        <is>
          <t>ISSUE CHAPS PAYMENT</t>
        </is>
      </c>
      <c r="I32" s="29" t="inlineStr">
        <is>
          <t>ref_whitespace_cleaned; party_whitespace_cleaned</t>
        </is>
      </c>
      <c r="J32" s="15" t="n"/>
      <c r="K32" s="15" t="n"/>
      <c r="L32" s="15" t="n"/>
      <c r="M32" s="15" t="n"/>
      <c r="N32" s="30" t="n"/>
      <c r="O32" s="15" t="n"/>
      <c r="P32" s="31" t="inlineStr">
        <is>
          <t>Yes</t>
        </is>
      </c>
    </row>
    <row r="33">
      <c r="A33" s="10" t="n">
        <v>29</v>
      </c>
      <c r="B33" s="10" t="inlineStr">
        <is>
          <t>Jan 26</t>
        </is>
      </c>
      <c r="C33" s="27">
        <f>IF($E33="","",DATE(YEAR($E33),MONTH($E33),1))</f>
        <v/>
      </c>
      <c r="D33" s="27">
        <f>IF($E33="","",EOMONTH($E33,0))</f>
        <v/>
      </c>
      <c r="E33" s="27" t="n">
        <v>46052</v>
      </c>
      <c r="F33" s="28" t="n">
        <v>2450000</v>
      </c>
      <c r="G33" s="10" t="inlineStr">
        <is>
          <t>DS SMITH LTD</t>
        </is>
      </c>
      <c r="H33" s="10" t="inlineStr">
        <is>
          <t>ISSUE CHAPS PAYMENT</t>
        </is>
      </c>
      <c r="I33" s="29" t="inlineStr">
        <is>
          <t>ref_whitespace_cleaned; party_whitespace_cleaned</t>
        </is>
      </c>
      <c r="J33" s="15" t="n"/>
      <c r="K33" s="15" t="n"/>
      <c r="L33" s="15" t="n"/>
      <c r="M33" s="15" t="n"/>
      <c r="N33" s="30" t="n"/>
      <c r="O33" s="15" t="n"/>
      <c r="P33" s="31" t="inlineStr">
        <is>
          <t>Yes</t>
        </is>
      </c>
    </row>
    <row r="34">
      <c r="A34" s="10" t="n">
        <v>30</v>
      </c>
      <c r="B34" s="10" t="inlineStr">
        <is>
          <t>Feb 26</t>
        </is>
      </c>
      <c r="C34" s="27">
        <f>IF($E34="","",DATE(YEAR($E34),MONTH($E34),1))</f>
        <v/>
      </c>
      <c r="D34" s="27">
        <f>IF($E34="","",EOMONTH($E34,0))</f>
        <v/>
      </c>
      <c r="E34" s="27" t="n">
        <v>46055</v>
      </c>
      <c r="F34" s="28" t="n">
        <v>3679179.76</v>
      </c>
      <c r="G34" s="10" t="inlineStr">
        <is>
          <t>SANTANDER SCF</t>
        </is>
      </c>
      <c r="H34" s="10" t="inlineStr">
        <is>
          <t>ISSUE CHAPS PAYMENT</t>
        </is>
      </c>
      <c r="I34" s="29" t="inlineStr">
        <is>
          <t>ref_whitespace_cleaned</t>
        </is>
      </c>
      <c r="J34" s="15" t="n"/>
      <c r="K34" s="15" t="n"/>
      <c r="L34" s="15" t="n"/>
      <c r="M34" s="15" t="n"/>
      <c r="N34" s="30" t="n"/>
      <c r="O34" s="15" t="n"/>
      <c r="P34" s="31" t="inlineStr">
        <is>
          <t>Yes</t>
        </is>
      </c>
    </row>
    <row r="35">
      <c r="A35" s="10" t="n">
        <v>31</v>
      </c>
      <c r="B35" s="10" t="inlineStr">
        <is>
          <t>Feb 26</t>
        </is>
      </c>
      <c r="C35" s="27">
        <f>IF($E35="","",DATE(YEAR($E35),MONTH($E35),1))</f>
        <v/>
      </c>
      <c r="D35" s="27">
        <f>IF($E35="","",EOMONTH($E35,0))</f>
        <v/>
      </c>
      <c r="E35" s="27" t="n">
        <v>46057</v>
      </c>
      <c r="F35" s="28" t="n">
        <v>3674499.52</v>
      </c>
      <c r="G35" s="10" t="inlineStr"/>
      <c r="H35" s="10" t="inlineStr">
        <is>
          <t>ACH PYMTS - LCL BULK FNDG</t>
        </is>
      </c>
      <c r="I35" s="29" t="inlineStr">
        <is>
          <t>ref_whitespace_cleaned; no_named_beneficiary</t>
        </is>
      </c>
      <c r="J35" s="15" t="n"/>
      <c r="K35" s="15" t="n"/>
      <c r="L35" s="15" t="n"/>
      <c r="M35" s="15" t="n"/>
      <c r="N35" s="30" t="n"/>
      <c r="O35" s="15" t="n"/>
      <c r="P35" s="31" t="inlineStr">
        <is>
          <t>Yes</t>
        </is>
      </c>
    </row>
    <row r="36">
      <c r="A36" s="10" t="n">
        <v>32</v>
      </c>
      <c r="B36" s="10" t="inlineStr">
        <is>
          <t>Feb 26</t>
        </is>
      </c>
      <c r="C36" s="27">
        <f>IF($E36="","",DATE(YEAR($E36),MONTH($E36),1))</f>
        <v/>
      </c>
      <c r="D36" s="27">
        <f>IF($E36="","",EOMONTH($E36,0))</f>
        <v/>
      </c>
      <c r="E36" s="27" t="n">
        <v>46080</v>
      </c>
      <c r="F36" s="28" t="n">
        <v>6558159.12</v>
      </c>
      <c r="G36" s="10" t="inlineStr">
        <is>
          <t>DS Smith Paper Limited</t>
        </is>
      </c>
      <c r="H36" s="10" t="inlineStr">
        <is>
          <t>ISSUE CHAPS PAYMENT</t>
        </is>
      </c>
      <c r="I36" s="29" t="inlineStr">
        <is>
          <t>party_whitespace_cleaned</t>
        </is>
      </c>
      <c r="J36" s="15" t="n"/>
      <c r="K36" s="15" t="n"/>
      <c r="L36" s="15" t="n"/>
      <c r="M36" s="15" t="n"/>
      <c r="N36" s="30" t="n"/>
      <c r="O36" s="15" t="n"/>
      <c r="P36" s="31" t="inlineStr">
        <is>
          <t>Yes</t>
        </is>
      </c>
    </row>
    <row r="37">
      <c r="A37" s="10" t="n">
        <v>33</v>
      </c>
      <c r="B37" s="10" t="inlineStr">
        <is>
          <t>Feb 26</t>
        </is>
      </c>
      <c r="C37" s="27">
        <f>IF($E37="","",DATE(YEAR($E37),MONTH($E37),1))</f>
        <v/>
      </c>
      <c r="D37" s="27">
        <f>IF($E37="","",EOMONTH($E37,0))</f>
        <v/>
      </c>
      <c r="E37" s="27" t="n">
        <v>46080</v>
      </c>
      <c r="F37" s="28" t="n">
        <v>2450000</v>
      </c>
      <c r="G37" s="10" t="inlineStr">
        <is>
          <t>DS SMITH LTD</t>
        </is>
      </c>
      <c r="H37" s="10" t="inlineStr">
        <is>
          <t>ISSUE CHAPS PAYMENT</t>
        </is>
      </c>
      <c r="I37" s="29" t="inlineStr">
        <is>
          <t>ref_whitespace_cleaned; party_whitespace_cleaned</t>
        </is>
      </c>
      <c r="J37" s="15" t="n"/>
      <c r="K37" s="15" t="n"/>
      <c r="L37" s="15" t="n"/>
      <c r="M37" s="15" t="n"/>
      <c r="N37" s="30" t="n"/>
      <c r="O37" s="15" t="n"/>
      <c r="P37" s="31" t="inlineStr">
        <is>
          <t>Yes</t>
        </is>
      </c>
    </row>
    <row r="38">
      <c r="A38" s="10" t="n">
        <v>34</v>
      </c>
      <c r="B38" s="10" t="inlineStr">
        <is>
          <t>Mar 26</t>
        </is>
      </c>
      <c r="C38" s="27">
        <f>IF($E38="","",DATE(YEAR($E38),MONTH($E38),1))</f>
        <v/>
      </c>
      <c r="D38" s="27">
        <f>IF($E38="","",EOMONTH($E38,0))</f>
        <v/>
      </c>
      <c r="E38" s="27" t="n">
        <v>46083</v>
      </c>
      <c r="F38" s="28" t="n">
        <v>3562528.89</v>
      </c>
      <c r="G38" s="10" t="inlineStr">
        <is>
          <t>SANTANDER SCF</t>
        </is>
      </c>
      <c r="H38" s="10" t="inlineStr">
        <is>
          <t>ISSUE CHAPS PAYMENT</t>
        </is>
      </c>
      <c r="I38" s="29" t="inlineStr">
        <is>
          <t>ref_whitespace_cleaned; party_whitespace_cleaned</t>
        </is>
      </c>
      <c r="J38" s="15" t="n"/>
      <c r="K38" s="15" t="n"/>
      <c r="L38" s="15" t="n"/>
      <c r="M38" s="15" t="n"/>
      <c r="N38" s="30" t="n"/>
      <c r="O38" s="15" t="n"/>
      <c r="P38" s="31" t="inlineStr">
        <is>
          <t>Yes</t>
        </is>
      </c>
    </row>
    <row r="39">
      <c r="A39" s="10" t="n">
        <v>35</v>
      </c>
      <c r="B39" s="10" t="inlineStr">
        <is>
          <t>Mar 26</t>
        </is>
      </c>
      <c r="C39" s="27">
        <f>IF($E39="","",DATE(YEAR($E39),MONTH($E39),1))</f>
        <v/>
      </c>
      <c r="D39" s="27">
        <f>IF($E39="","",EOMONTH($E39,0))</f>
        <v/>
      </c>
      <c r="E39" s="27" t="n">
        <v>46085</v>
      </c>
      <c r="F39" s="28" t="n">
        <v>8557737.25</v>
      </c>
      <c r="G39" s="10" t="inlineStr"/>
      <c r="H39" s="10" t="inlineStr">
        <is>
          <t>ACH PYMTS - LCL BULK FNDG</t>
        </is>
      </c>
      <c r="I39" s="29" t="inlineStr">
        <is>
          <t>no_named_beneficiary</t>
        </is>
      </c>
      <c r="J39" s="15" t="n"/>
      <c r="K39" s="15" t="n"/>
      <c r="L39" s="15" t="n"/>
      <c r="M39" s="15" t="n"/>
      <c r="N39" s="30" t="n"/>
      <c r="O39" s="15" t="n"/>
      <c r="P39" s="31" t="inlineStr">
        <is>
          <t>Yes</t>
        </is>
      </c>
    </row>
    <row r="40">
      <c r="A40" s="10" t="n">
        <v>36</v>
      </c>
      <c r="B40" s="10" t="inlineStr">
        <is>
          <t>Mar 26</t>
        </is>
      </c>
      <c r="C40" s="27">
        <f>IF($E40="","",DATE(YEAR($E40),MONTH($E40),1))</f>
        <v/>
      </c>
      <c r="D40" s="27">
        <f>IF($E40="","",EOMONTH($E40,0))</f>
        <v/>
      </c>
      <c r="E40" s="27" t="n">
        <v>46093</v>
      </c>
      <c r="F40" s="28" t="n">
        <v>2301959.84</v>
      </c>
      <c r="G40" s="10" t="inlineStr"/>
      <c r="H40" s="10" t="inlineStr">
        <is>
          <t>ACH PYMTS - LCL BULK FNDG</t>
        </is>
      </c>
      <c r="I40" s="29" t="inlineStr">
        <is>
          <t>no_named_beneficiary</t>
        </is>
      </c>
      <c r="J40" s="15" t="n"/>
      <c r="K40" s="15" t="n"/>
      <c r="L40" s="15" t="n"/>
      <c r="M40" s="15" t="n"/>
      <c r="N40" s="30" t="n"/>
      <c r="O40" s="15" t="n"/>
      <c r="P40" s="31" t="inlineStr">
        <is>
          <t>Yes</t>
        </is>
      </c>
    </row>
    <row r="41">
      <c r="A41" s="10" t="n">
        <v>37</v>
      </c>
      <c r="B41" s="10" t="inlineStr">
        <is>
          <t>Mar 26</t>
        </is>
      </c>
      <c r="C41" s="27">
        <f>IF($E41="","",DATE(YEAR($E41),MONTH($E41),1))</f>
        <v/>
      </c>
      <c r="D41" s="27">
        <f>IF($E41="","",EOMONTH($E41,0))</f>
        <v/>
      </c>
      <c r="E41" s="27" t="n">
        <v>46108</v>
      </c>
      <c r="F41" s="28" t="n">
        <v>5989486.48</v>
      </c>
      <c r="G41" s="10" t="inlineStr">
        <is>
          <t>DS Smith Paper Limited</t>
        </is>
      </c>
      <c r="H41" s="10" t="inlineStr">
        <is>
          <t>DS Smith Paper Limited</t>
        </is>
      </c>
      <c r="I41" s="29" t="inlineStr">
        <is>
          <t>ref_holds_a_party_name_not_a_transaction_description; party_whitespace_cleaned</t>
        </is>
      </c>
      <c r="J41" s="15" t="n"/>
      <c r="K41" s="15" t="n"/>
      <c r="L41" s="15" t="n"/>
      <c r="M41" s="15" t="n"/>
      <c r="N41" s="30" t="n"/>
      <c r="O41" s="15" t="n"/>
      <c r="P41" s="31" t="inlineStr">
        <is>
          <t>Yes</t>
        </is>
      </c>
    </row>
    <row r="42">
      <c r="A42" s="10" t="n">
        <v>38</v>
      </c>
      <c r="B42" s="10" t="inlineStr">
        <is>
          <t>Mar 26</t>
        </is>
      </c>
      <c r="C42" s="27">
        <f>IF($E42="","",DATE(YEAR($E42),MONTH($E42),1))</f>
        <v/>
      </c>
      <c r="D42" s="27">
        <f>IF($E42="","",EOMONTH($E42,0))</f>
        <v/>
      </c>
      <c r="E42" s="27" t="n">
        <v>46112</v>
      </c>
      <c r="F42" s="28" t="n">
        <v>2450000</v>
      </c>
      <c r="G42" s="10" t="inlineStr">
        <is>
          <t>DS SMITH LTD</t>
        </is>
      </c>
      <c r="H42" s="10" t="inlineStr">
        <is>
          <t>ISSUE CHAPS PAYMENT</t>
        </is>
      </c>
      <c r="I42" s="29" t="inlineStr"/>
      <c r="J42" s="15" t="n"/>
      <c r="K42" s="15" t="n"/>
      <c r="L42" s="15" t="n"/>
      <c r="M42" s="15" t="n"/>
      <c r="N42" s="30" t="n"/>
      <c r="O42" s="15" t="n"/>
      <c r="P42" s="31" t="inlineStr">
        <is>
          <t>Yes</t>
        </is>
      </c>
    </row>
    <row r="43">
      <c r="A43" s="10" t="n">
        <v>39</v>
      </c>
      <c r="B43" s="10" t="inlineStr">
        <is>
          <t>Apr 26</t>
        </is>
      </c>
      <c r="C43" s="27">
        <f>IF($E43="","",DATE(YEAR($E43),MONTH($E43),1))</f>
        <v/>
      </c>
      <c r="D43" s="27">
        <f>IF($E43="","",EOMONTH($E43,0))</f>
        <v/>
      </c>
      <c r="E43" s="27" t="n">
        <v>46113</v>
      </c>
      <c r="F43" s="28" t="n">
        <v>3316944.84</v>
      </c>
      <c r="G43" s="10" t="inlineStr">
        <is>
          <t>SANTANDER SCF</t>
        </is>
      </c>
      <c r="H43" s="10" t="inlineStr">
        <is>
          <t>ISSUE CHAPS PAYMENT</t>
        </is>
      </c>
      <c r="I43" s="29" t="inlineStr"/>
      <c r="J43" s="15" t="n"/>
      <c r="K43" s="15" t="n"/>
      <c r="L43" s="15" t="n"/>
      <c r="M43" s="15" t="n"/>
      <c r="N43" s="30" t="n"/>
      <c r="O43" s="15" t="n"/>
      <c r="P43" s="31" t="inlineStr">
        <is>
          <t>Yes</t>
        </is>
      </c>
    </row>
    <row r="44">
      <c r="A44" s="10" t="n">
        <v>40</v>
      </c>
      <c r="B44" s="10" t="inlineStr">
        <is>
          <t>Apr 26</t>
        </is>
      </c>
      <c r="C44" s="27">
        <f>IF($E44="","",DATE(YEAR($E44),MONTH($E44),1))</f>
        <v/>
      </c>
      <c r="D44" s="27">
        <f>IF($E44="","",EOMONTH($E44,0))</f>
        <v/>
      </c>
      <c r="E44" s="27" t="n">
        <v>46128</v>
      </c>
      <c r="F44" s="28" t="n">
        <v>2611670.69</v>
      </c>
      <c r="G44" s="10" t="inlineStr">
        <is>
          <t>DS SMITH LTD</t>
        </is>
      </c>
      <c r="H44" s="10" t="inlineStr">
        <is>
          <t>ISSUE CHAPS PAYMENT</t>
        </is>
      </c>
      <c r="I44" s="29" t="inlineStr"/>
      <c r="J44" s="15" t="n"/>
      <c r="K44" s="15" t="n"/>
      <c r="L44" s="15" t="n"/>
      <c r="M44" s="15" t="n"/>
      <c r="N44" s="30" t="n"/>
      <c r="O44" s="15" t="n"/>
      <c r="P44" s="31" t="inlineStr">
        <is>
          <t>Yes</t>
        </is>
      </c>
    </row>
    <row r="45">
      <c r="A45" s="10" t="n">
        <v>41</v>
      </c>
      <c r="B45" s="10" t="inlineStr">
        <is>
          <t>Apr 26</t>
        </is>
      </c>
      <c r="C45" s="27">
        <f>IF($E45="","",DATE(YEAR($E45),MONTH($E45),1))</f>
        <v/>
      </c>
      <c r="D45" s="27">
        <f>IF($E45="","",EOMONTH($E45,0))</f>
        <v/>
      </c>
      <c r="E45" s="27" t="n">
        <v>46129</v>
      </c>
      <c r="F45" s="28" t="n">
        <v>4996002.96</v>
      </c>
      <c r="G45" s="10" t="inlineStr"/>
      <c r="H45" s="10" t="inlineStr">
        <is>
          <t>ACH PYMTS - LCL BULK FNDG</t>
        </is>
      </c>
      <c r="I45" s="29" t="inlineStr">
        <is>
          <t>no_named_beneficiary</t>
        </is>
      </c>
      <c r="J45" s="15" t="n"/>
      <c r="K45" s="15" t="n"/>
      <c r="L45" s="15" t="n"/>
      <c r="M45" s="15" t="n"/>
      <c r="N45" s="30" t="n"/>
      <c r="O45" s="15" t="n"/>
      <c r="P45" s="31" t="inlineStr">
        <is>
          <t>Yes</t>
        </is>
      </c>
    </row>
    <row r="46">
      <c r="A46" s="10" t="n">
        <v>42</v>
      </c>
      <c r="B46" s="10" t="inlineStr">
        <is>
          <t>Apr 26</t>
        </is>
      </c>
      <c r="C46" s="27">
        <f>IF($E46="","",DATE(YEAR($E46),MONTH($E46),1))</f>
        <v/>
      </c>
      <c r="D46" s="27">
        <f>IF($E46="","",EOMONTH($E46,0))</f>
        <v/>
      </c>
      <c r="E46" s="27" t="n">
        <v>46135</v>
      </c>
      <c r="F46" s="28" t="n">
        <v>2334786.77</v>
      </c>
      <c r="G46" s="10" t="inlineStr">
        <is>
          <t>DS Smith Paper Limited</t>
        </is>
      </c>
      <c r="H46" s="10" t="inlineStr">
        <is>
          <t>ISSUE CHAPS PAYMENT</t>
        </is>
      </c>
      <c r="I46" s="29" t="inlineStr">
        <is>
          <t>party_whitespace_cleaned</t>
        </is>
      </c>
      <c r="J46" s="15" t="n"/>
      <c r="K46" s="15" t="n"/>
      <c r="L46" s="15" t="n"/>
      <c r="M46" s="15" t="n"/>
      <c r="N46" s="30" t="n"/>
      <c r="O46" s="15" t="n"/>
      <c r="P46" s="31" t="inlineStr">
        <is>
          <t>Yes</t>
        </is>
      </c>
    </row>
    <row r="47">
      <c r="A47" s="10" t="n">
        <v>43</v>
      </c>
      <c r="B47" s="10" t="inlineStr">
        <is>
          <t>Apr 26</t>
        </is>
      </c>
      <c r="C47" s="27">
        <f>IF($E47="","",DATE(YEAR($E47),MONTH($E47),1))</f>
        <v/>
      </c>
      <c r="D47" s="27">
        <f>IF($E47="","",EOMONTH($E47,0))</f>
        <v/>
      </c>
      <c r="E47" s="27" t="n">
        <v>46139</v>
      </c>
      <c r="F47" s="28" t="n">
        <v>2598639.67</v>
      </c>
      <c r="G47" s="10" t="inlineStr">
        <is>
          <t>DS Smith Paper Limited</t>
        </is>
      </c>
      <c r="H47" s="10" t="inlineStr">
        <is>
          <t>ISSUE CHAPS PAYMENT</t>
        </is>
      </c>
      <c r="I47" s="29" t="inlineStr">
        <is>
          <t>party_whitespace_cleaned</t>
        </is>
      </c>
      <c r="J47" s="15" t="n"/>
      <c r="K47" s="15" t="n"/>
      <c r="L47" s="15" t="n"/>
      <c r="M47" s="15" t="n"/>
      <c r="N47" s="30" t="n"/>
      <c r="O47" s="15" t="n"/>
      <c r="P47" s="31" t="inlineStr">
        <is>
          <t>Yes</t>
        </is>
      </c>
    </row>
    <row r="48">
      <c r="A48" s="10" t="n">
        <v>44</v>
      </c>
      <c r="B48" s="10" t="inlineStr">
        <is>
          <t>Apr 26</t>
        </is>
      </c>
      <c r="C48" s="27">
        <f>IF($E48="","",DATE(YEAR($E48),MONTH($E48),1))</f>
        <v/>
      </c>
      <c r="D48" s="27">
        <f>IF($E48="","",EOMONTH($E48,0))</f>
        <v/>
      </c>
      <c r="E48" s="27" t="n">
        <v>46142</v>
      </c>
      <c r="F48" s="28" t="n">
        <v>2450000</v>
      </c>
      <c r="G48" s="10" t="inlineStr">
        <is>
          <t>DS SMITH LTD</t>
        </is>
      </c>
      <c r="H48" s="10" t="inlineStr">
        <is>
          <t>ISSUE CHAPS PAYMENT</t>
        </is>
      </c>
      <c r="I48" s="29" t="inlineStr"/>
      <c r="J48" s="15" t="n"/>
      <c r="K48" s="15" t="n"/>
      <c r="L48" s="15" t="n"/>
      <c r="M48" s="15" t="n"/>
      <c r="N48" s="30" t="n"/>
      <c r="O48" s="15" t="n"/>
      <c r="P48" s="31" t="inlineStr">
        <is>
          <t>Yes</t>
        </is>
      </c>
    </row>
    <row r="49">
      <c r="A49" s="10" t="n">
        <v>45</v>
      </c>
      <c r="B49" s="10" t="inlineStr">
        <is>
          <t>Apr 26</t>
        </is>
      </c>
      <c r="C49" s="27">
        <f>IF($E49="","",DATE(YEAR($E49),MONTH($E49),1))</f>
        <v/>
      </c>
      <c r="D49" s="27">
        <f>IF($E49="","",EOMONTH($E49,0))</f>
        <v/>
      </c>
      <c r="E49" s="27" t="n">
        <v>46142</v>
      </c>
      <c r="F49" s="28" t="n">
        <v>3232025.51</v>
      </c>
      <c r="G49" s="10" t="inlineStr">
        <is>
          <t>DS Smith Paper Limited</t>
        </is>
      </c>
      <c r="H49" s="10" t="inlineStr">
        <is>
          <t>ISSUE CHAPS PAYMENT</t>
        </is>
      </c>
      <c r="I49" s="29" t="inlineStr">
        <is>
          <t>party_whitespace_cleaned</t>
        </is>
      </c>
      <c r="J49" s="15" t="n"/>
      <c r="K49" s="15" t="n"/>
      <c r="L49" s="15" t="n"/>
      <c r="M49" s="15" t="n"/>
      <c r="N49" s="30" t="n"/>
      <c r="O49" s="15" t="n"/>
      <c r="P49" s="31" t="inlineStr">
        <is>
          <t>Yes</t>
        </is>
      </c>
    </row>
    <row r="50">
      <c r="A50" s="10" t="n">
        <v>46</v>
      </c>
      <c r="B50" s="10" t="inlineStr">
        <is>
          <t>May 26</t>
        </is>
      </c>
      <c r="C50" s="27">
        <f>IF($E50="","",DATE(YEAR($E50),MONTH($E50),1))</f>
        <v/>
      </c>
      <c r="D50" s="27">
        <f>IF($E50="","",EOMONTH($E50,0))</f>
        <v/>
      </c>
      <c r="E50" s="27" t="n">
        <v>46147</v>
      </c>
      <c r="F50" s="28" t="n">
        <v>3723586.74</v>
      </c>
      <c r="G50" s="10" t="inlineStr">
        <is>
          <t>SANTANDER SCF</t>
        </is>
      </c>
      <c r="H50" s="10" t="inlineStr">
        <is>
          <t>ISSUE CHAPS PAYMENT</t>
        </is>
      </c>
      <c r="I50" s="29" t="inlineStr"/>
      <c r="J50" s="15" t="n"/>
      <c r="K50" s="15" t="n"/>
      <c r="L50" s="15" t="n"/>
      <c r="M50" s="15" t="n"/>
      <c r="N50" s="30" t="n"/>
      <c r="O50" s="15" t="n"/>
      <c r="P50" s="31" t="inlineStr">
        <is>
          <t>Yes</t>
        </is>
      </c>
    </row>
    <row r="51">
      <c r="A51" s="10" t="n">
        <v>47</v>
      </c>
      <c r="B51" s="10" t="inlineStr">
        <is>
          <t>May 26</t>
        </is>
      </c>
      <c r="C51" s="27">
        <f>IF($E51="","",DATE(YEAR($E51),MONTH($E51),1))</f>
        <v/>
      </c>
      <c r="D51" s="27">
        <f>IF($E51="","",EOMONTH($E51,0))</f>
        <v/>
      </c>
      <c r="E51" s="27" t="n">
        <v>46150</v>
      </c>
      <c r="F51" s="28" t="n">
        <v>5009315.83</v>
      </c>
      <c r="G51" s="10" t="inlineStr"/>
      <c r="H51" s="10" t="inlineStr">
        <is>
          <t>ACH PYMTS - LCL BULK FNDG</t>
        </is>
      </c>
      <c r="I51" s="29" t="inlineStr">
        <is>
          <t>ref_whitespace_cleaned; no_named_beneficiary</t>
        </is>
      </c>
      <c r="J51" s="15" t="n"/>
      <c r="K51" s="15" t="n"/>
      <c r="L51" s="15" t="n"/>
      <c r="M51" s="15" t="n"/>
      <c r="N51" s="30" t="n"/>
      <c r="O51" s="15" t="n"/>
      <c r="P51" s="31" t="inlineStr">
        <is>
          <t>Yes</t>
        </is>
      </c>
    </row>
    <row r="52">
      <c r="A52" s="10" t="n">
        <v>48</v>
      </c>
      <c r="B52" s="10" t="inlineStr">
        <is>
          <t>May 26</t>
        </is>
      </c>
      <c r="C52" s="27">
        <f>IF($E52="","",DATE(YEAR($E52),MONTH($E52),1))</f>
        <v/>
      </c>
      <c r="D52" s="27">
        <f>IF($E52="","",EOMONTH($E52,0))</f>
        <v/>
      </c>
      <c r="E52" s="27" t="n">
        <v>46157</v>
      </c>
      <c r="F52" s="28" t="n">
        <v>4340970.4</v>
      </c>
      <c r="G52" s="10" t="inlineStr"/>
      <c r="H52" s="10" t="inlineStr">
        <is>
          <t>ACH PYMTS - LCL BULK FNDG</t>
        </is>
      </c>
      <c r="I52" s="29" t="inlineStr">
        <is>
          <t>ref_whitespace_cleaned; no_named_beneficiary</t>
        </is>
      </c>
      <c r="J52" s="15" t="n"/>
      <c r="K52" s="15" t="n"/>
      <c r="L52" s="15" t="n"/>
      <c r="M52" s="15" t="n"/>
      <c r="N52" s="30" t="n"/>
      <c r="O52" s="15" t="n"/>
      <c r="P52" s="31" t="inlineStr">
        <is>
          <t>Yes</t>
        </is>
      </c>
    </row>
    <row r="53">
      <c r="A53" s="10" t="n">
        <v>49</v>
      </c>
      <c r="B53" s="10" t="inlineStr">
        <is>
          <t>May 26</t>
        </is>
      </c>
      <c r="C53" s="27">
        <f>IF($E53="","",DATE(YEAR($E53),MONTH($E53),1))</f>
        <v/>
      </c>
      <c r="D53" s="27">
        <f>IF($E53="","",EOMONTH($E53,0))</f>
        <v/>
      </c>
      <c r="E53" s="27" t="n">
        <v>46170</v>
      </c>
      <c r="F53" s="28" t="n">
        <v>2400509.91</v>
      </c>
      <c r="G53" s="10" t="inlineStr">
        <is>
          <t>DS Smith Paper Limited</t>
        </is>
      </c>
      <c r="H53" s="10" t="inlineStr">
        <is>
          <t>ISSUE CHAPS PAYMENT</t>
        </is>
      </c>
      <c r="I53" s="29" t="inlineStr">
        <is>
          <t>party_whitespace_cleaned</t>
        </is>
      </c>
      <c r="J53" s="15" t="n"/>
      <c r="K53" s="15" t="n"/>
      <c r="L53" s="15" t="n"/>
      <c r="M53" s="15" t="n"/>
      <c r="N53" s="30" t="n"/>
      <c r="O53" s="15" t="n"/>
      <c r="P53" s="31" t="inlineStr">
        <is>
          <t>Yes</t>
        </is>
      </c>
    </row>
    <row r="54">
      <c r="A54" s="10" t="n">
        <v>50</v>
      </c>
      <c r="B54" s="10" t="inlineStr">
        <is>
          <t>May 26</t>
        </is>
      </c>
      <c r="C54" s="27">
        <f>IF($E54="","",DATE(YEAR($E54),MONTH($E54),1))</f>
        <v/>
      </c>
      <c r="D54" s="27">
        <f>IF($E54="","",EOMONTH($E54,0))</f>
        <v/>
      </c>
      <c r="E54" s="27" t="n">
        <v>46171</v>
      </c>
      <c r="F54" s="28" t="n">
        <v>3444449.93</v>
      </c>
      <c r="G54" s="10" t="inlineStr">
        <is>
          <t>DS Smith Paper Limited</t>
        </is>
      </c>
      <c r="H54" s="10" t="inlineStr">
        <is>
          <t>ISSUE CHAPS PAYMENT</t>
        </is>
      </c>
      <c r="I54" s="29" t="inlineStr">
        <is>
          <t>party_whitespace_cleaned</t>
        </is>
      </c>
      <c r="J54" s="15" t="n"/>
      <c r="K54" s="15" t="n"/>
      <c r="L54" s="15" t="n"/>
      <c r="M54" s="15" t="n"/>
      <c r="N54" s="30" t="n"/>
      <c r="O54" s="15" t="n"/>
      <c r="P54" s="31" t="inlineStr">
        <is>
          <t>Yes</t>
        </is>
      </c>
    </row>
    <row r="55">
      <c r="A55" s="10" t="n">
        <v>51</v>
      </c>
      <c r="B55" s="10" t="inlineStr">
        <is>
          <t>May 26</t>
        </is>
      </c>
      <c r="C55" s="27">
        <f>IF($E55="","",DATE(YEAR($E55),MONTH($E55),1))</f>
        <v/>
      </c>
      <c r="D55" s="27">
        <f>IF($E55="","",EOMONTH($E55,0))</f>
        <v/>
      </c>
      <c r="E55" s="27" t="n">
        <v>46171</v>
      </c>
      <c r="F55" s="28" t="n">
        <v>2450000</v>
      </c>
      <c r="G55" s="10" t="inlineStr">
        <is>
          <t>DS SMITH LTD</t>
        </is>
      </c>
      <c r="H55" s="10" t="inlineStr">
        <is>
          <t>ISSUE CHAPS PAYMENT</t>
        </is>
      </c>
      <c r="I55" s="29" t="inlineStr"/>
      <c r="J55" s="15" t="n"/>
      <c r="K55" s="15" t="n"/>
      <c r="L55" s="15" t="n"/>
      <c r="M55" s="15" t="n"/>
      <c r="N55" s="30" t="n"/>
      <c r="O55" s="15" t="n"/>
      <c r="P55" s="31" t="inlineStr">
        <is>
          <t>Yes</t>
        </is>
      </c>
    </row>
    <row r="56">
      <c r="A56" s="10" t="n">
        <v>52</v>
      </c>
      <c r="B56" s="10" t="inlineStr">
        <is>
          <t>Jun 26</t>
        </is>
      </c>
      <c r="C56" s="27">
        <f>IF($E56="","",DATE(YEAR($E56),MONTH($E56),1))</f>
        <v/>
      </c>
      <c r="D56" s="27">
        <f>IF($E56="","",EOMONTH($E56,0))</f>
        <v/>
      </c>
      <c r="E56" s="27" t="n">
        <v>46176</v>
      </c>
      <c r="F56" s="28" t="n">
        <v>5210470.59</v>
      </c>
      <c r="G56" s="10" t="inlineStr"/>
      <c r="H56" s="10" t="inlineStr">
        <is>
          <t>ACH PYMTS - LCL BULK FNDG</t>
        </is>
      </c>
      <c r="I56" s="29" t="inlineStr">
        <is>
          <t>ref_typo_corrected_from:ACH PYMTS - LCL BULK FNG; no_named_beneficiary</t>
        </is>
      </c>
      <c r="J56" s="15" t="n"/>
      <c r="K56" s="15" t="n"/>
      <c r="L56" s="15" t="n"/>
      <c r="M56" s="15" t="n"/>
      <c r="N56" s="30" t="n"/>
      <c r="O56" s="15" t="n"/>
      <c r="P56" s="31" t="inlineStr">
        <is>
          <t>Yes</t>
        </is>
      </c>
    </row>
    <row r="57">
      <c r="A57" s="10" t="n">
        <v>53</v>
      </c>
      <c r="B57" s="10" t="inlineStr">
        <is>
          <t>Jun 26</t>
        </is>
      </c>
      <c r="C57" s="27">
        <f>IF($E57="","",DATE(YEAR($E57),MONTH($E57),1))</f>
        <v/>
      </c>
      <c r="D57" s="27">
        <f>IF($E57="","",EOMONTH($E57,0))</f>
        <v/>
      </c>
      <c r="E57" s="27" t="n">
        <v>46177</v>
      </c>
      <c r="F57" s="28" t="n">
        <v>4006482.03</v>
      </c>
      <c r="G57" s="10" t="inlineStr">
        <is>
          <t>SANTANDER SCF</t>
        </is>
      </c>
      <c r="H57" s="10" t="inlineStr">
        <is>
          <t>ISSUE CHAPS PAYMENT</t>
        </is>
      </c>
      <c r="I57" s="29" t="inlineStr"/>
      <c r="J57" s="15" t="n"/>
      <c r="K57" s="15" t="n"/>
      <c r="L57" s="15" t="n"/>
      <c r="M57" s="15" t="n"/>
      <c r="N57" s="30" t="n"/>
      <c r="O57" s="15" t="n"/>
      <c r="P57" s="31" t="inlineStr">
        <is>
          <t>Yes</t>
        </is>
      </c>
    </row>
    <row r="58">
      <c r="A58" s="10" t="n">
        <v>54</v>
      </c>
      <c r="B58" s="10" t="inlineStr">
        <is>
          <t>Jun 26</t>
        </is>
      </c>
      <c r="C58" s="27">
        <f>IF($E58="","",DATE(YEAR($E58),MONTH($E58),1))</f>
        <v/>
      </c>
      <c r="D58" s="27">
        <f>IF($E58="","",EOMONTH($E58,0))</f>
        <v/>
      </c>
      <c r="E58" s="27" t="n">
        <v>46184</v>
      </c>
      <c r="F58" s="28" t="n">
        <v>6226088.99</v>
      </c>
      <c r="G58" s="10" t="inlineStr"/>
      <c r="H58" s="10" t="inlineStr">
        <is>
          <t>ACH PYMTS - LCL BULK FNDG</t>
        </is>
      </c>
      <c r="I58" s="29" t="inlineStr">
        <is>
          <t>no_named_beneficiary</t>
        </is>
      </c>
      <c r="J58" s="15" t="n"/>
      <c r="K58" s="15" t="n"/>
      <c r="L58" s="15" t="n"/>
      <c r="M58" s="15" t="n"/>
      <c r="N58" s="30" t="n"/>
      <c r="O58" s="15" t="n"/>
      <c r="P58" s="31" t="inlineStr">
        <is>
          <t>Yes</t>
        </is>
      </c>
    </row>
    <row r="59">
      <c r="A59" s="10" t="n">
        <v>55</v>
      </c>
      <c r="B59" s="10" t="inlineStr">
        <is>
          <t>Jun 26</t>
        </is>
      </c>
      <c r="C59" s="27">
        <f>IF($E59="","",DATE(YEAR($E59),MONTH($E59),1))</f>
        <v/>
      </c>
      <c r="D59" s="27">
        <f>IF($E59="","",EOMONTH($E59,0))</f>
        <v/>
      </c>
      <c r="E59" s="27" t="n">
        <v>46185</v>
      </c>
      <c r="F59" s="28" t="n">
        <v>2292348.71</v>
      </c>
      <c r="G59" s="10" t="inlineStr">
        <is>
          <t>DS Smith Paper Limited</t>
        </is>
      </c>
      <c r="H59" s="10" t="inlineStr">
        <is>
          <t>ISSUE CHAPS PAYMENT</t>
        </is>
      </c>
      <c r="I59" s="29" t="inlineStr">
        <is>
          <t>party_whitespace_cleaned</t>
        </is>
      </c>
      <c r="J59" s="15" t="n"/>
      <c r="K59" s="15" t="n"/>
      <c r="L59" s="15" t="n"/>
      <c r="M59" s="15" t="n"/>
      <c r="N59" s="30" t="n"/>
      <c r="O59" s="15" t="n"/>
      <c r="P59" s="31" t="inlineStr">
        <is>
          <t>Yes</t>
        </is>
      </c>
    </row>
    <row r="60">
      <c r="A60" s="10" t="n">
        <v>56</v>
      </c>
      <c r="B60" s="10" t="inlineStr">
        <is>
          <t>Jun 26</t>
        </is>
      </c>
      <c r="C60" s="27">
        <f>IF($E60="","",DATE(YEAR($E60),MONTH($E60),1))</f>
        <v/>
      </c>
      <c r="D60" s="27">
        <f>IF($E60="","",EOMONTH($E60,0))</f>
        <v/>
      </c>
      <c r="E60" s="27" t="n">
        <v>46202</v>
      </c>
      <c r="F60" s="28" t="n">
        <v>2782960.69</v>
      </c>
      <c r="G60" s="10" t="inlineStr">
        <is>
          <t>DS Smith Paper Limited</t>
        </is>
      </c>
      <c r="H60" s="10" t="inlineStr">
        <is>
          <t>ISSUE CHAPS PAYMENT</t>
        </is>
      </c>
      <c r="I60" s="29" t="inlineStr">
        <is>
          <t>party_whitespace_cleaned</t>
        </is>
      </c>
      <c r="J60" s="15" t="n"/>
      <c r="K60" s="15" t="n"/>
      <c r="L60" s="15" t="n"/>
      <c r="M60" s="15" t="n"/>
      <c r="N60" s="30" t="n"/>
      <c r="O60" s="15" t="n"/>
      <c r="P60" s="31" t="inlineStr">
        <is>
          <t>Yes</t>
        </is>
      </c>
    </row>
    <row r="61">
      <c r="E61" s="32" t="inlineStr">
        <is>
          <t>Total</t>
        </is>
      </c>
      <c r="F61" s="33">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4" t="inlineStr">
        <is>
          <t>5, 6, 7, 8, 12, 13, 14, 15, 19, 20, 21, 22, ... (+15 more)</t>
        </is>
      </c>
      <c r="E6" s="12" t="inlineStr">
        <is>
          <t>Leading, trailing or doubled spaces removed from the party name.</t>
        </is>
      </c>
    </row>
    <row r="7" ht="34" customHeight="1">
      <c r="B7" s="10" t="inlineStr">
        <is>
          <t>ref_whitespace_cleaned</t>
        </is>
      </c>
      <c r="C7" s="22" t="n">
        <v>26</v>
      </c>
      <c r="D7" s="34" t="inlineStr">
        <is>
          <t>1, 2, 3, 4, 5, 7, 8, 9, 10, 11, 17, 18, ... (+14 more)</t>
        </is>
      </c>
      <c r="E7" s="12" t="inlineStr">
        <is>
          <t>Leading or trailing spaces removed from the payment reference.</t>
        </is>
      </c>
    </row>
    <row r="8" ht="34" customHeight="1">
      <c r="B8" s="10" t="inlineStr">
        <is>
          <t>no_named_beneficiary</t>
        </is>
      </c>
      <c r="C8" s="22" t="n">
        <v>18</v>
      </c>
      <c r="D8" s="34"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4"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4"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4" t="inlineStr">
        <is>
          <t>52</t>
        </is>
      </c>
      <c r="E11" s="12" t="inlineStr">
        <is>
          <t>Transaction description misspelt ('FNG' for 'FNDG'). Corrected on extract.</t>
        </is>
      </c>
    </row>
    <row r="13">
      <c r="B13" s="3" t="inlineStr">
        <is>
          <t>Findings outside the sample rows</t>
        </is>
      </c>
    </row>
    <row r="14" ht="42" customHeight="1">
      <c r="B14" s="32" t="inlineStr">
        <is>
          <t>*</t>
        </is>
      </c>
      <c r="C14" s="16" t="inlineStr">
        <is>
          <t>The auditor's month tabs already hold 55 pasted bank-statement screenshots, one per sample -- so the bank side of the evidence is done and the SAP side is what is missing.</t>
        </is>
      </c>
    </row>
    <row r="15" ht="42" customHeight="1">
      <c r="B15" s="32" t="inlineStr">
        <is>
          <t>*</t>
        </is>
      </c>
      <c r="C15" s="16" t="inlineStr">
        <is>
          <t>'Oct 25' holds 8 sample rows but only 7 screenshots, so one October line has no bank evidence attached. Worth confirming with the auditor which line.</t>
        </is>
      </c>
    </row>
    <row r="16" ht="42" customHeight="1">
      <c r="B16" s="32"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2"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2026-07-30T13:08:30Z</dcterms:created>
  <dcterms:modified xsi:type="dcterms:W3CDTF">2026-07-30T13:08:30Z</dcterms:modified>
</cp:coreProperties>
</file>