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72"/>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Confirming document type</t>
        </is>
      </c>
      <c r="C25" s="11" t="inlineStr">
        <is>
          <t>KA</t>
        </is>
      </c>
      <c r="D25" s="12" t="inlineStr">
        <is>
          <t>Document type the finance provider's side of a confirming batch is posted under. When a Payment Usage list holds these and no payment documents, the run follows their Reference to the real suppliers instead of calling it a treasury settlement.</t>
        </is>
      </c>
    </row>
    <row r="26">
      <c r="B26" s="10" t="inlineStr">
        <is>
          <t>Confirming reference column</t>
        </is>
      </c>
      <c r="C26" s="11" t="inlineStr">
        <is>
          <t>Reference</t>
        </is>
      </c>
      <c r="D26" s="12" t="inlineStr">
        <is>
          <t>Heading of the column in the Payment Usage export carrying that reference. Leading zeros are kept -- it is a character field, and 0000243422 is not 243422.</t>
        </is>
      </c>
    </row>
    <row r="27">
      <c r="B27" s="10" t="inlineStr">
        <is>
          <t>Confirming reference caption</t>
        </is>
      </c>
      <c r="C27" s="11" t="inlineStr">
        <is>
          <t>Reference</t>
        </is>
      </c>
      <c r="D27" s="12" t="inlineStr">
        <is>
          <t>What the Reference field is LABELLED in FBL1N's dynamic selections. The run reads the field's technical name off that label, because the %%DYNnnn number depends on which dynamic selections are active and is not a property of the field. Translate if needed.</t>
        </is>
      </c>
    </row>
    <row r="28">
      <c r="B28" s="10" t="inlineStr">
        <is>
          <t>Confirming company code pattern</t>
        </is>
      </c>
      <c r="C28" s="11" t="inlineStr">
        <is>
          <t>GB*</t>
        </is>
      </c>
      <c r="D28" s="12" t="inlineStr">
        <is>
          <t>Company codes to search for the supplier invoices. NOT the code that made the payment: a confirming batch is paid by one company and the invoices sit in the operating ones. A pattern, so one search covers them all.</t>
        </is>
      </c>
    </row>
    <row r="29">
      <c r="B29" s="10" t="inlineStr">
        <is>
          <t>Payment usage menu text</t>
        </is>
      </c>
      <c r="C29" s="11" t="inlineStr">
        <is>
          <t>Payment usage</t>
        </is>
      </c>
      <c r="D29" s="12" t="inlineStr">
        <is>
          <t>What Environment &gt; Payment Usage is CALLED on your system. The macro finds the command by this name and only falls back to the recorded menu position when the name is not on the menu bar -- a position that exists on the wrong screen is not the right command, and selecting one blind sent a run into FS03. Translate it if your SAP is not in English.</t>
        </is>
      </c>
    </row>
    <row r="30">
      <c r="B30" s="10" t="inlineStr">
        <is>
          <t>Max rows for a settlement</t>
        </is>
      </c>
      <c r="C30" s="11" t="n">
        <v>8</v>
      </c>
      <c r="D30" s="12" t="inlineStr">
        <is>
          <t>A clearing document with no vendor payments and no more than this many bookkeeping rows is a treasury, tax or FX settlement -- there is no invoice behind it. Above it, the run assumes the document-type column was misread. A real payment run here has held between 34 and 656 payments, never a handful.</t>
        </is>
      </c>
    </row>
    <row r="31">
      <c r="B31" s="10" t="inlineStr">
        <is>
          <t>SAP date format</t>
        </is>
      </c>
      <c r="C31" s="11" t="inlineStr">
        <is>
          <t>DDMMYYYY</t>
        </is>
      </c>
      <c r="D31"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32">
      <c r="B32" s="10" t="inlineStr">
        <is>
          <t>Payment document type</t>
        </is>
      </c>
      <c r="C32" s="11" t="inlineStr">
        <is>
          <t>ZP</t>
        </is>
      </c>
      <c r="D32"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33">
      <c r="B33" s="10" t="inlineStr">
        <is>
          <t>Clearing line posting key</t>
        </is>
      </c>
      <c r="C33" s="11" t="inlineStr">
        <is>
          <t>40</t>
        </is>
      </c>
      <c r="D33" s="12" t="inlineStr">
        <is>
          <t>Step 4 opens the first line-item row with this posting key that also carries a clearing document. Blank means 'any row with a clearing document'.</t>
        </is>
      </c>
    </row>
    <row r="34">
      <c r="B34" s="10" t="inlineStr">
        <is>
          <t>Payment usage document column</t>
        </is>
      </c>
      <c r="C34" s="11" t="inlineStr"/>
      <c r="D34" s="12" t="inlineStr">
        <is>
          <t>Caption of the document-number column in the exported Payment Usage list, if the macro cannot find it. Open the first exported file and copy the heading exactly.</t>
        </is>
      </c>
    </row>
    <row r="35">
      <c r="B35" s="10" t="inlineStr">
        <is>
          <t>Payment usage type column</t>
        </is>
      </c>
      <c r="C35" s="11" t="inlineStr"/>
      <c r="D35" s="12" t="inlineStr">
        <is>
          <t>Caption of the document-type column in that same file. Without it every document is taken rather than only the ZP ones, and the Log says so.</t>
        </is>
      </c>
    </row>
    <row r="36">
      <c r="B36" s="10" t="inlineStr">
        <is>
          <t>ZP list amount column</t>
        </is>
      </c>
      <c r="C36" s="11" t="inlineStr"/>
      <c r="D36"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7">
      <c r="B37" s="10" t="inlineStr">
        <is>
          <t>ZP list vendor column</t>
        </is>
      </c>
      <c r="C37" s="11" t="inlineStr"/>
      <c r="D37" s="12" t="inlineStr">
        <is>
          <t>Caption of the vendor-name column in that same file. Same rules.</t>
        </is>
      </c>
    </row>
    <row r="38">
      <c r="B38" s="10" t="inlineStr">
        <is>
          <t>ZP list document column</t>
        </is>
      </c>
      <c r="C38" s="11" t="inlineStr"/>
      <c r="D38" s="12" t="inlineStr">
        <is>
          <t>Caption of the document-number column in that same file. Same rules.</t>
        </is>
      </c>
    </row>
    <row r="39">
      <c r="B39" s="10" t="inlineStr">
        <is>
          <t>Invoice attachment title contains</t>
        </is>
      </c>
      <c r="C39" s="11" t="inlineStr">
        <is>
          <t>Invoice</t>
        </is>
      </c>
      <c r="D39"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40">
      <c r="B40" s="10" t="inlineStr">
        <is>
          <t>Invoice document type</t>
        </is>
      </c>
      <c r="C40" s="11" t="inlineStr">
        <is>
          <t>KR, RN</t>
        </is>
      </c>
      <c r="D40"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41">
      <c r="B41" s="10" t="inlineStr">
        <is>
          <t>Invoice list amount column</t>
        </is>
      </c>
      <c r="C41" s="11" t="inlineStr"/>
      <c r="D41" s="12" t="inlineStr">
        <is>
          <t>Santander SCF route only. Caption of the amount column in the exported list of invoices behind an SCF payment. Blank falls back to a built-in list of captions.</t>
        </is>
      </c>
    </row>
    <row r="42">
      <c r="B42" s="10" t="inlineStr">
        <is>
          <t>Invoice list supplier column</t>
        </is>
      </c>
      <c r="C42" s="11" t="inlineStr"/>
      <c r="D42" s="12" t="inlineStr">
        <is>
          <t>Caption of the supplier column in that same file.</t>
        </is>
      </c>
    </row>
    <row r="43">
      <c r="B43" s="10" t="inlineStr">
        <is>
          <t>Invoice list document column</t>
        </is>
      </c>
      <c r="C43" s="11" t="inlineStr"/>
      <c r="D43" s="12" t="inlineStr">
        <is>
          <t>Caption of the invoice-number column in that same file.</t>
        </is>
      </c>
    </row>
    <row r="44">
      <c r="B44" s="10" t="inlineStr">
        <is>
          <t>Extra popup titles to allow</t>
        </is>
      </c>
      <c r="C44" s="11" t="inlineStr"/>
      <c r="D44"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45">
      <c r="B45" s="10" t="inlineStr">
        <is>
          <t>Operator name</t>
        </is>
      </c>
      <c r="C45" s="11" t="inlineStr"/>
      <c r="D45" s="12" t="inlineStr">
        <is>
          <t>Written into the log for the audit trail.</t>
        </is>
      </c>
    </row>
    <row r="48">
      <c r="B48" s="3" t="inlineStr">
        <is>
          <t>Progress (formulas over the Samples sheet)</t>
        </is>
      </c>
    </row>
    <row r="49">
      <c r="B49" s="14" t="inlineStr">
        <is>
          <t>Samples in the sheet</t>
        </is>
      </c>
      <c r="C49" s="15">
        <f>COUNTA(Samples!A5:A1000)</f>
        <v/>
      </c>
    </row>
    <row r="50">
      <c r="B50" s="14" t="inlineStr">
        <is>
          <t>Included in the next run</t>
        </is>
      </c>
      <c r="C50" s="15">
        <f>COUNTIF(Samples!P5:P1000,"Yes")+COUNTBLANK(Samples!P5:P60)</f>
        <v/>
      </c>
    </row>
    <row r="51">
      <c r="B51" s="14" t="inlineStr">
        <is>
          <t>Excluded</t>
        </is>
      </c>
      <c r="C51" s="15">
        <f>COUNTIF(Samples!P5:P1000,"No")</f>
        <v/>
      </c>
    </row>
    <row r="52">
      <c r="B52" s="14" t="inlineStr">
        <is>
          <t>DONE -- invoice downloaded</t>
        </is>
      </c>
      <c r="C52" s="15">
        <f>COUNTIF(Samples!J5:J1000,"DONE")</f>
        <v/>
      </c>
    </row>
    <row r="53">
      <c r="B53" s="14" t="inlineStr">
        <is>
          <t>BLOCKED_FBL1N -- steps 8-9 not mapped yet</t>
        </is>
      </c>
      <c r="C53" s="15">
        <f>COUNTIF(Samples!J5:J1000,"BLOCKED_FBL1N")</f>
        <v/>
      </c>
    </row>
    <row r="54">
      <c r="B54" s="14" t="inlineStr">
        <is>
          <t>BLOCKED_INVOICE -- reached the payment, no PDF</t>
        </is>
      </c>
      <c r="C54" s="15">
        <f>COUNTIF(Samples!J5:J1000,"BLOCKED_INVOICE")</f>
        <v/>
      </c>
    </row>
    <row r="55">
      <c r="B55" s="14" t="inlineStr">
        <is>
          <t>PARTIAL -- traced, no invoice file</t>
        </is>
      </c>
      <c r="C55" s="15">
        <f>COUNTIF(Samples!J5:J1000,"PARTIAL")</f>
        <v/>
      </c>
    </row>
    <row r="56">
      <c r="B56" s="14" t="inlineStr">
        <is>
          <t>NO CLEARING -- internal transfer, line items exported</t>
        </is>
      </c>
      <c r="C56" s="15">
        <f>COUNTIF(Samples!J5:J1000,"NO CLEARING")</f>
        <v/>
      </c>
    </row>
    <row r="57">
      <c r="B57" s="14" t="inlineStr">
        <is>
          <t>NO VENDOR PAYMENTS -- treasury/FX settlement</t>
        </is>
      </c>
      <c r="C57" s="15">
        <f>COUNTIF(Samples!J5:J1000,"NO VENDOR PAYMENTS")</f>
        <v/>
      </c>
    </row>
    <row r="58">
      <c r="B58" s="14" t="inlineStr">
        <is>
          <t>NOT FOUND -- no matching statement line</t>
        </is>
      </c>
      <c r="C58" s="15">
        <f>COUNTIF(Samples!J5:J1000,"NOT FOUND")</f>
        <v/>
      </c>
    </row>
    <row r="59">
      <c r="B59" s="14" t="inlineStr">
        <is>
          <t>AMBIGUOUS -- more than one line matched</t>
        </is>
      </c>
      <c r="C59" s="15">
        <f>COUNTIF(Samples!J5:J1000,"AMBIGUOUS")</f>
        <v/>
      </c>
    </row>
    <row r="60">
      <c r="B60" s="14" t="inlineStr">
        <is>
          <t>ERROR</t>
        </is>
      </c>
      <c r="C60" s="15">
        <f>COUNTIF(Samples!J5:J1000,"ERROR")</f>
        <v/>
      </c>
    </row>
    <row r="61">
      <c r="B61" s="14" t="inlineStr">
        <is>
          <t>Not started</t>
        </is>
      </c>
      <c r="C61" s="15">
        <f>COUNTBLANK(Samples!J5:J60)</f>
        <v/>
      </c>
    </row>
    <row r="62">
      <c r="B62" s="14" t="inlineStr">
        <is>
          <t>Files downloaded</t>
        </is>
      </c>
      <c r="C62" s="15">
        <f>SUM(Samples!N5:N1000)</f>
        <v/>
      </c>
    </row>
    <row r="63">
      <c r="B63" s="14" t="inlineStr">
        <is>
          <t>Samples with no named beneficiary in the request</t>
        </is>
      </c>
      <c r="C63" s="15">
        <f>COUNTIF(Samples!I5:I1000,"*no_named_beneficiary*")</f>
        <v/>
      </c>
    </row>
    <row r="64">
      <c r="B64" s="14" t="inlineStr">
        <is>
          <t>Reached a confirming (Santander SCF) payment</t>
        </is>
      </c>
      <c r="C64" s="15">
        <f>COUNTIF(Samples!O5:O1000,"*confirming party*")</f>
        <v/>
      </c>
    </row>
    <row r="65">
      <c r="B65" s="14" t="inlineStr">
        <is>
          <t>Samples the request already names as SANTANDER SCF</t>
        </is>
      </c>
      <c r="C65" s="15">
        <f>COUNTIF(Samples!G5:G1000,"*SANTANDER*")</f>
        <v/>
      </c>
    </row>
    <row r="68">
      <c r="B68" s="3" t="inlineStr">
        <is>
          <t>Assumptions baked into this workbook</t>
        </is>
      </c>
    </row>
    <row r="69" ht="28" customHeight="1">
      <c r="B69" s="14" t="inlineStr">
        <is>
          <t>1.</t>
        </is>
      </c>
      <c r="C69" s="16" t="inlineStr">
        <is>
          <t>Company code GBKM and the FEBAN transaction are taken from the requester's instruction, not from the auditor's workbook, which names neither.</t>
        </is>
      </c>
    </row>
    <row r="70" ht="28" customHeight="1">
      <c r="B70" s="14" t="inlineStr">
        <is>
          <t>2.</t>
        </is>
      </c>
      <c r="C70" s="16" t="inlineStr">
        <is>
          <t>The FEBAN statement-date range for each sample is the first to the last calendar day of the month containing that sample's payment date (column C and D formulas on 'Samples').</t>
        </is>
      </c>
    </row>
    <row r="71" ht="28" customHeight="1">
      <c r="B71" s="14" t="inlineStr">
        <is>
          <t>3.</t>
        </is>
      </c>
      <c r="C71" s="16" t="inlineStr">
        <is>
          <t>Sample amounts are stored as positive numbers. The auditor's workbook shows them unsigned even where the bank statement shows a debit.</t>
        </is>
      </c>
    </row>
    <row r="72" ht="28" customHeight="1">
      <c r="B72" s="14" t="inlineStr">
        <is>
          <t>4.</t>
        </is>
      </c>
      <c r="C72" s="16" t="inlineStr">
        <is>
          <t>Source of the sample list: 'Paper Samples' sheet, rows 5-60, of Samples_Paper_SURL260716_152455.962.xlsx as supplied by the auditor.</t>
        </is>
      </c>
    </row>
  </sheetData>
  <mergeCells count="4">
    <mergeCell ref="C72:D72"/>
    <mergeCell ref="C69:D69"/>
    <mergeCell ref="C71:D71"/>
    <mergeCell ref="C70:D70"/>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V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 width="16" customWidth="1" min="20" max="20"/>
    <col width="12" customWidth="1" min="21" max="21"/>
    <col width="14" customWidth="1" min="22" max="22"/>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c r="T4" s="17" t="inlineStr">
        <is>
          <t>Start document</t>
        </is>
      </c>
      <c r="U4" s="17" t="inlineStr">
        <is>
          <t>Start at</t>
        </is>
      </c>
      <c r="V4" s="17" t="inlineStr">
        <is>
          <t>Auditor's ZP</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c r="T5" s="10" t="n"/>
      <c r="U5" s="10" t="n"/>
      <c r="V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c r="T6" s="10" t="n"/>
      <c r="U6" s="10" t="n"/>
      <c r="V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c r="T7" s="10" t="n"/>
      <c r="U7" s="10" t="n"/>
      <c r="V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c r="T8" s="10" t="n"/>
      <c r="U8" s="10" t="n"/>
      <c r="V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c r="T9" s="10" t="n"/>
      <c r="U9" s="10" t="n"/>
      <c r="V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c r="T10" s="10" t="n"/>
      <c r="U10" s="10" t="n"/>
      <c r="V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c r="T11" s="10" t="n"/>
      <c r="U11" s="10" t="n"/>
      <c r="V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c r="T12" s="10" t="n"/>
      <c r="U12" s="10" t="n"/>
      <c r="V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c r="T13" s="10" t="n"/>
      <c r="U13" s="10" t="n"/>
      <c r="V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c r="T14" s="10" t="n"/>
      <c r="U14" s="10" t="n"/>
      <c r="V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c r="T15" s="10" t="n"/>
      <c r="U15" s="10" t="n"/>
      <c r="V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c r="T16" s="10" t="n"/>
      <c r="U16" s="10" t="n"/>
      <c r="V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c r="T17" s="10" t="n"/>
      <c r="U17" s="10" t="n"/>
      <c r="V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c r="T18" s="10" t="n"/>
      <c r="U18" s="10" t="n"/>
      <c r="V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c r="T19" s="10" t="n"/>
      <c r="U19" s="10" t="n"/>
      <c r="V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c r="T20" s="10" t="n"/>
      <c r="U20" s="10" t="n"/>
      <c r="V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c r="T21" s="10" t="n"/>
      <c r="U21" s="10" t="n"/>
      <c r="V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c r="T22" s="10" t="n"/>
      <c r="U22" s="10" t="n"/>
      <c r="V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c r="T23" s="10" t="n"/>
      <c r="U23" s="10" t="n"/>
      <c r="V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c r="T24" s="10" t="n"/>
      <c r="U24" s="10" t="n"/>
      <c r="V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c r="T25" s="10" t="n"/>
      <c r="U25" s="10" t="n"/>
      <c r="V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c r="T26" s="10" t="n"/>
      <c r="U26" s="10" t="n"/>
      <c r="V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c r="T27" s="10" t="n"/>
      <c r="U27" s="10" t="n"/>
      <c r="V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c r="T28" s="10" t="n"/>
      <c r="U28" s="10" t="n"/>
      <c r="V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c r="T29" s="10" t="n"/>
      <c r="U29" s="10" t="n"/>
      <c r="V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c r="T30" s="10" t="n"/>
      <c r="U30" s="10" t="n"/>
      <c r="V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c r="T31" s="10" t="n"/>
      <c r="U31" s="10" t="n"/>
      <c r="V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c r="T32" s="10" t="n"/>
      <c r="U32" s="10" t="n"/>
      <c r="V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c r="T33" s="10" t="n"/>
      <c r="U33" s="10" t="n"/>
      <c r="V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c r="T34" s="10" t="n"/>
      <c r="U34" s="10" t="n"/>
      <c r="V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c r="T35" s="10" t="n"/>
      <c r="U35" s="10" t="n"/>
      <c r="V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c r="T36" s="10" t="n"/>
      <c r="U36" s="10" t="n"/>
      <c r="V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c r="T37" s="10" t="n"/>
      <c r="U37" s="10" t="n"/>
      <c r="V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c r="T38" s="10" t="n"/>
      <c r="U38" s="10" t="n"/>
      <c r="V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c r="T39" s="10" t="n"/>
      <c r="U39" s="10" t="n"/>
      <c r="V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c r="T40" s="10" t="n"/>
      <c r="U40" s="10" t="n"/>
      <c r="V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c r="T41" s="10" t="n"/>
      <c r="U41" s="10" t="n"/>
      <c r="V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c r="T42" s="10" t="n"/>
      <c r="U42" s="10" t="n"/>
      <c r="V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c r="T43" s="10" t="n"/>
      <c r="U43" s="10" t="n"/>
      <c r="V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c r="T44" s="10" t="n"/>
      <c r="U44" s="10" t="n"/>
      <c r="V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c r="T45" s="10" t="n"/>
      <c r="U45" s="10" t="n"/>
      <c r="V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c r="T46" s="10" t="n"/>
      <c r="U46" s="10" t="n"/>
      <c r="V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c r="T47" s="10" t="n"/>
      <c r="U47" s="10" t="n"/>
      <c r="V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c r="T48" s="10" t="n"/>
      <c r="U48" s="10" t="n"/>
      <c r="V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c r="T49" s="10" t="n"/>
      <c r="U49" s="10" t="n"/>
      <c r="V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c r="T50" s="10" t="n"/>
      <c r="U50" s="10" t="n"/>
      <c r="V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c r="T51" s="10" t="n"/>
      <c r="U51" s="10" t="n"/>
      <c r="V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c r="T52" s="10" t="n"/>
      <c r="U52" s="10" t="n"/>
      <c r="V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c r="T53" s="10" t="n"/>
      <c r="U53" s="10" t="n"/>
      <c r="V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c r="T54" s="10" t="n"/>
      <c r="U54" s="10" t="n"/>
      <c r="V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c r="T55" s="10" t="n"/>
      <c r="U55" s="10" t="n"/>
      <c r="V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c r="T56" s="10" t="n"/>
      <c r="U56" s="10" t="n"/>
      <c r="V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c r="T57" s="10" t="n"/>
      <c r="U57" s="10" t="n"/>
      <c r="V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c r="T58" s="10" t="n"/>
      <c r="U58" s="10" t="n"/>
      <c r="V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c r="T59" s="10" t="n"/>
      <c r="U59" s="10" t="n"/>
      <c r="V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c r="T60" s="10" t="n"/>
      <c r="U60" s="10" t="n"/>
      <c r="V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2026-08-10T13:41:24Z</dcterms:created>
  <dcterms:modified xsi:type="dcterms:W3CDTF">2026-08-10T13:41:24Z</dcterms:modified>
</cp:coreProperties>
</file>