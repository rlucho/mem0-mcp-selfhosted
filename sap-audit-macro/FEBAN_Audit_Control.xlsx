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3"/>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this type are taken from the Payment Usage list and fed to FBL1N. ZP is the SAP standard for a payment document.</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document type</t>
        </is>
      </c>
      <c r="C33" s="11" t="inlineStr">
        <is>
          <t>KR</t>
        </is>
      </c>
      <c r="D33" s="12" t="inlineStr">
        <is>
          <t>The PDF is taken from the invoice, which is the KR document and carries a NEGATIVE amount. The list it is picked from holds several types at once -- ZP payments, KR invoices, SB statement documents -- so without this filter the largest row is usually a payment, not an invoice. Comparisons are on magnitude, so the negative sign does not matter.</t>
        </is>
      </c>
    </row>
    <row r="34">
      <c r="B34" s="10" t="inlineStr">
        <is>
          <t>Invoice list amount column</t>
        </is>
      </c>
      <c r="C34" s="11" t="inlineStr"/>
      <c r="D34" s="12" t="inlineStr">
        <is>
          <t>Santander SCF route only. Caption of the amount column in the exported list of invoices behind an SCF payment. Blank falls back to a built-in list of captions.</t>
        </is>
      </c>
    </row>
    <row r="35">
      <c r="B35" s="10" t="inlineStr">
        <is>
          <t>Invoice list supplier column</t>
        </is>
      </c>
      <c r="C35" s="11" t="inlineStr"/>
      <c r="D35" s="12" t="inlineStr">
        <is>
          <t>Caption of the supplier column in that same file.</t>
        </is>
      </c>
    </row>
    <row r="36">
      <c r="B36" s="10" t="inlineStr">
        <is>
          <t>Invoice list document column</t>
        </is>
      </c>
      <c r="C36" s="11" t="inlineStr"/>
      <c r="D36" s="12" t="inlineStr">
        <is>
          <t>Caption of the invoice-number column in that same file.</t>
        </is>
      </c>
    </row>
    <row r="37">
      <c r="B37" s="10" t="inlineStr">
        <is>
          <t>Extra popup titles to allow</t>
        </is>
      </c>
      <c r="C37" s="11" t="inlineStr"/>
      <c r="D37"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8">
      <c r="B38" s="10" t="inlineStr">
        <is>
          <t>Operator name</t>
        </is>
      </c>
      <c r="C38" s="11" t="inlineStr"/>
      <c r="D38" s="12" t="inlineStr">
        <is>
          <t>Written into the log for the audit trail.</t>
        </is>
      </c>
    </row>
    <row r="41">
      <c r="B41" s="3" t="inlineStr">
        <is>
          <t>Progress (formulas over the Samples sheet)</t>
        </is>
      </c>
    </row>
    <row r="42">
      <c r="B42" s="14" t="inlineStr">
        <is>
          <t>Samples in the sheet</t>
        </is>
      </c>
      <c r="C42" s="15">
        <f>COUNTA(Samples!A5:A1000)</f>
        <v/>
      </c>
    </row>
    <row r="43">
      <c r="B43" s="14" t="inlineStr">
        <is>
          <t>Included in the next run</t>
        </is>
      </c>
      <c r="C43" s="15">
        <f>COUNTIF(Samples!P5:P1000,"Yes")+COUNTBLANK(Samples!P5:P60)</f>
        <v/>
      </c>
    </row>
    <row r="44">
      <c r="B44" s="14" t="inlineStr">
        <is>
          <t>Excluded</t>
        </is>
      </c>
      <c r="C44" s="15">
        <f>COUNTIF(Samples!P5:P1000,"No")</f>
        <v/>
      </c>
    </row>
    <row r="45">
      <c r="B45" s="14" t="inlineStr">
        <is>
          <t>DONE -- invoice downloaded</t>
        </is>
      </c>
      <c r="C45" s="15">
        <f>COUNTIF(Samples!J5:J1000,"DONE")</f>
        <v/>
      </c>
    </row>
    <row r="46">
      <c r="B46" s="14" t="inlineStr">
        <is>
          <t>BLOCKED_FBL1N -- steps 8-9 not mapped yet</t>
        </is>
      </c>
      <c r="C46" s="15">
        <f>COUNTIF(Samples!J5:J1000,"BLOCKED_FBL1N")</f>
        <v/>
      </c>
    </row>
    <row r="47">
      <c r="B47" s="14" t="inlineStr">
        <is>
          <t>BLOCKED_INVOICE -- reached the payment, no PDF</t>
        </is>
      </c>
      <c r="C47" s="15">
        <f>COUNTIF(Samples!J5:J1000,"BLOCKED_INVOICE")</f>
        <v/>
      </c>
    </row>
    <row r="48">
      <c r="B48" s="14" t="inlineStr">
        <is>
          <t>PARTIAL -- traced, no invoice file</t>
        </is>
      </c>
      <c r="C48" s="15">
        <f>COUNTIF(Samples!J5:J1000,"PARTIAL")</f>
        <v/>
      </c>
    </row>
    <row r="49">
      <c r="B49" s="14" t="inlineStr">
        <is>
          <t>NOT FOUND -- no matching statement line</t>
        </is>
      </c>
      <c r="C49" s="15">
        <f>COUNTIF(Samples!J5:J1000,"NOT FOUND")</f>
        <v/>
      </c>
    </row>
    <row r="50">
      <c r="B50" s="14" t="inlineStr">
        <is>
          <t>AMBIGUOUS -- more than one line matched</t>
        </is>
      </c>
      <c r="C50" s="15">
        <f>COUNTIF(Samples!J5:J1000,"AMBIGUOUS")</f>
        <v/>
      </c>
    </row>
    <row r="51">
      <c r="B51" s="14" t="inlineStr">
        <is>
          <t>ERROR</t>
        </is>
      </c>
      <c r="C51" s="15">
        <f>COUNTIF(Samples!J5:J1000,"ERROR")</f>
        <v/>
      </c>
    </row>
    <row r="52">
      <c r="B52" s="14" t="inlineStr">
        <is>
          <t>Not started</t>
        </is>
      </c>
      <c r="C52" s="15">
        <f>COUNTBLANK(Samples!J5:J60)</f>
        <v/>
      </c>
    </row>
    <row r="53">
      <c r="B53" s="14" t="inlineStr">
        <is>
          <t>Files downloaded</t>
        </is>
      </c>
      <c r="C53" s="15">
        <f>SUM(Samples!N5:N1000)</f>
        <v/>
      </c>
    </row>
    <row r="54">
      <c r="B54" s="14" t="inlineStr">
        <is>
          <t>Samples with no named beneficiary in the request</t>
        </is>
      </c>
      <c r="C54" s="15">
        <f>COUNTIF(Samples!I5:I1000,"*no_named_beneficiary*")</f>
        <v/>
      </c>
    </row>
    <row r="55">
      <c r="B55" s="14" t="inlineStr">
        <is>
          <t>Reached a confirming (Santander SCF) payment</t>
        </is>
      </c>
      <c r="C55" s="15">
        <f>COUNTIF(Samples!O5:O1000,"*confirming party*")</f>
        <v/>
      </c>
    </row>
    <row r="56">
      <c r="B56" s="14" t="inlineStr">
        <is>
          <t>Samples the request already names as SANTANDER SCF</t>
        </is>
      </c>
      <c r="C56" s="15">
        <f>COUNTIF(Samples!G5:G1000,"*SANTANDER*")</f>
        <v/>
      </c>
    </row>
    <row r="59">
      <c r="B59" s="3" t="inlineStr">
        <is>
          <t>Assumptions baked into this workbook</t>
        </is>
      </c>
    </row>
    <row r="60" ht="28" customHeight="1">
      <c r="B60" s="14" t="inlineStr">
        <is>
          <t>1.</t>
        </is>
      </c>
      <c r="C60" s="16" t="inlineStr">
        <is>
          <t>Company code GBKM and the FEBAN transaction are taken from the requester's instruction, not from the auditor's workbook, which names neither.</t>
        </is>
      </c>
    </row>
    <row r="61" ht="28" customHeight="1">
      <c r="B61" s="14" t="inlineStr">
        <is>
          <t>2.</t>
        </is>
      </c>
      <c r="C61" s="16" t="inlineStr">
        <is>
          <t>The FEBAN statement-date range for each sample is the first to the last calendar day of the month containing that sample's payment date (column C and D formulas on 'Samples').</t>
        </is>
      </c>
    </row>
    <row r="62" ht="28" customHeight="1">
      <c r="B62" s="14" t="inlineStr">
        <is>
          <t>3.</t>
        </is>
      </c>
      <c r="C62" s="16" t="inlineStr">
        <is>
          <t>Sample amounts are stored as positive numbers. The auditor's workbook shows them unsigned even where the bank statement shows a debit.</t>
        </is>
      </c>
    </row>
    <row r="63" ht="28" customHeight="1">
      <c r="B63" s="14" t="inlineStr">
        <is>
          <t>4.</t>
        </is>
      </c>
      <c r="C63" s="16" t="inlineStr">
        <is>
          <t>Source of the sample list: 'Paper Samples' sheet, rows 5-60, of Samples_Paper_SURL260716_152455.962.xlsx as supplied by the auditor.</t>
        </is>
      </c>
    </row>
  </sheetData>
  <mergeCells count="4">
    <mergeCell ref="C60:D60"/>
    <mergeCell ref="C63:D63"/>
    <mergeCell ref="C61:D61"/>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1"/>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18" t="inlineStr">
        <is>
          <t>Step 6: Environment &gt; Payment Usage</t>
        </is>
      </c>
      <c r="C34" s="19" t="n"/>
      <c r="D34" s="19" t="n"/>
      <c r="E34" s="19" t="n"/>
      <c r="F34" s="19" t="n"/>
    </row>
    <row r="35">
      <c r="B35" s="20" t="inlineStr">
        <is>
          <t>PaymentUsage.Menu</t>
        </is>
      </c>
      <c r="C35" s="12" t="inlineStr">
        <is>
          <t>Menu path to the batch's payment documents. Confirmed in all four recordings</t>
        </is>
      </c>
      <c r="D35" s="21" t="inlineStr">
        <is>
          <t>recorded</t>
        </is>
      </c>
      <c r="E35" s="22" t="inlineStr">
        <is>
          <t>Yes</t>
        </is>
      </c>
      <c r="F35" s="23" t="inlineStr">
        <is>
          <t>wnd[0]/mbar/menu[5]/menu[3]</t>
        </is>
      </c>
    </row>
    <row r="36">
      <c r="B36" s="20" t="inlineStr">
        <is>
          <t>PaymentUsage.ListAnchor</t>
        </is>
      </c>
      <c r="C36" s="12" t="inlineStr">
        <is>
          <t>An element that exists on that list, used only to confirm the menu landed. Clear it to skip the check</t>
        </is>
      </c>
      <c r="D36" s="21" t="inlineStr">
        <is>
          <t>recorded</t>
        </is>
      </c>
      <c r="E36" s="22" t="inlineStr">
        <is>
          <t>No</t>
        </is>
      </c>
      <c r="F36" s="23" t="inlineStr">
        <is>
          <t>wnd[0]/usr/chk[1,6]</t>
        </is>
      </c>
    </row>
    <row r="37">
      <c r="B37" s="18" t="inlineStr">
        <is>
          <t>Step 7: classic list export (List &gt; Save/Send &gt; File)</t>
        </is>
      </c>
      <c r="C37" s="19" t="n"/>
      <c r="D37" s="19" t="n"/>
      <c r="E37" s="19" t="n"/>
      <c r="F37" s="19" t="n"/>
    </row>
    <row r="38">
      <c r="B38" s="20" t="inlineStr">
        <is>
          <t>Export.ListMenu</t>
        </is>
      </c>
      <c r="C38" s="12" t="inlineStr">
        <is>
          <t>Menu path that opens the save-list dialog</t>
        </is>
      </c>
      <c r="D38" s="21" t="inlineStr">
        <is>
          <t>recorded</t>
        </is>
      </c>
      <c r="E38" s="22" t="inlineStr">
        <is>
          <t>Yes</t>
        </is>
      </c>
      <c r="F38" s="23" t="inlineStr">
        <is>
          <t>wnd[0]/mbar/menu[0]/menu[3]/menu[1]</t>
        </is>
      </c>
    </row>
    <row r="39">
      <c r="B39" s="20" t="inlineStr">
        <is>
          <t>Export.FormatOkButton</t>
        </is>
      </c>
      <c r="C39" s="12" t="inlineStr">
        <is>
          <t>Confirm the file-format popup</t>
        </is>
      </c>
      <c r="D39" s="21" t="inlineStr">
        <is>
          <t>recorded</t>
        </is>
      </c>
      <c r="E39" s="22" t="inlineStr">
        <is>
          <t>Yes</t>
        </is>
      </c>
      <c r="F39" s="23" t="inlineStr">
        <is>
          <t>wnd[1]/tbar[0]/btn[0]</t>
        </is>
      </c>
    </row>
    <row r="40">
      <c r="B40" s="20" t="inlineStr">
        <is>
          <t>Save.Path</t>
        </is>
      </c>
      <c r="C40" s="12" t="inlineStr">
        <is>
          <t>Directory field</t>
        </is>
      </c>
      <c r="D40" s="21" t="inlineStr">
        <is>
          <t>recorded</t>
        </is>
      </c>
      <c r="E40" s="22" t="inlineStr">
        <is>
          <t>Yes</t>
        </is>
      </c>
      <c r="F40" s="23" t="inlineStr">
        <is>
          <t>wnd[1]/usr/ctxtDY_PATH</t>
        </is>
      </c>
    </row>
    <row r="41">
      <c r="B41" s="20" t="inlineStr">
        <is>
          <t>Save.FileName</t>
        </is>
      </c>
      <c r="C41" s="12" t="inlineStr">
        <is>
          <t>File name field. Confirmed in Audit2.vbs and Audit5.vbs</t>
        </is>
      </c>
      <c r="D41" s="21" t="inlineStr">
        <is>
          <t>recorded</t>
        </is>
      </c>
      <c r="E41" s="22" t="inlineStr">
        <is>
          <t>Yes</t>
        </is>
      </c>
      <c r="F41" s="23" t="inlineStr">
        <is>
          <t>wnd[1]/usr/ctxtDY_FILENAME</t>
        </is>
      </c>
    </row>
    <row r="42">
      <c r="B42" s="20" t="inlineStr">
        <is>
          <t>Save.Encoding</t>
        </is>
      </c>
      <c r="C42" s="12" t="inlineStr">
        <is>
          <t>Encoding field, where present. VERIFY</t>
        </is>
      </c>
      <c r="D42" s="24" t="inlineStr">
        <is>
          <t>VERIFY</t>
        </is>
      </c>
      <c r="E42" s="22" t="inlineStr">
        <is>
          <t>No</t>
        </is>
      </c>
      <c r="F42" s="23" t="inlineStr">
        <is>
          <t>wnd[1]/usr/ctxtDY_FILE_ENCODING</t>
        </is>
      </c>
    </row>
    <row r="43">
      <c r="B43" s="20" t="inlineStr">
        <is>
          <t>Save.GenerateButton</t>
        </is>
      </c>
      <c r="C43" s="12" t="inlineStr">
        <is>
          <t>Confirm the save. btn[0], not btn[11]</t>
        </is>
      </c>
      <c r="D43" s="21" t="inlineStr">
        <is>
          <t>recorded</t>
        </is>
      </c>
      <c r="E43" s="22" t="inlineStr">
        <is>
          <t>Yes</t>
        </is>
      </c>
      <c r="F43" s="23" t="inlineStr">
        <is>
          <t>wnd[1]/tbar[0]/btn[0]</t>
        </is>
      </c>
    </row>
    <row r="44">
      <c r="B44" s="18" t="inlineStr">
        <is>
          <t>Steps 8-9: FBL1N, the ZP payments of the batch</t>
        </is>
      </c>
      <c r="C44" s="19" t="n"/>
      <c r="D44" s="19" t="n"/>
      <c r="E44" s="19" t="n"/>
      <c r="F44" s="19" t="n"/>
    </row>
    <row r="45">
      <c r="B45" s="20" t="inlineStr">
        <is>
          <t>Fbl1n.AllItemsRadio</t>
        </is>
      </c>
      <c r="C45" s="12" t="inlineStr">
        <is>
          <t>'All items' radio</t>
        </is>
      </c>
      <c r="D45" s="21" t="inlineStr">
        <is>
          <t>recorded</t>
        </is>
      </c>
      <c r="E45" s="22" t="inlineStr">
        <is>
          <t>No</t>
        </is>
      </c>
      <c r="F45" s="23" t="inlineStr">
        <is>
          <t>wnd[0]/usr/radX_AISEL</t>
        </is>
      </c>
    </row>
    <row r="46">
      <c r="B46" s="20" t="inlineStr">
        <is>
          <t>Fbl1n.CompanyCode</t>
        </is>
      </c>
      <c r="C46" s="12" t="inlineStr">
        <is>
          <t>Company code. KD_BUKRS, not the DD_BUKRS that was predicted</t>
        </is>
      </c>
      <c r="D46" s="21" t="inlineStr">
        <is>
          <t>recorded</t>
        </is>
      </c>
      <c r="E46" s="22" t="inlineStr">
        <is>
          <t>No</t>
        </is>
      </c>
      <c r="F46" s="23" t="inlineStr">
        <is>
          <t>wnd[0]/usr/ctxtKD_BUKRS-LOW</t>
        </is>
      </c>
    </row>
    <row r="47">
      <c r="B47" s="20" t="inlineStr">
        <is>
          <t>Fbl1n.PostingDateFrom</t>
        </is>
      </c>
      <c r="C47" s="12" t="inlineStr">
        <is>
          <t>Posting date, low</t>
        </is>
      </c>
      <c r="D47" s="21" t="inlineStr">
        <is>
          <t>recorded</t>
        </is>
      </c>
      <c r="E47" s="22" t="inlineStr">
        <is>
          <t>No</t>
        </is>
      </c>
      <c r="F47" s="23" t="inlineStr">
        <is>
          <t>wnd[0]/usr/ctxtSO_BUDAT-LOW</t>
        </is>
      </c>
    </row>
    <row r="48">
      <c r="B48" s="20" t="inlineStr">
        <is>
          <t>Fbl1n.PostingDateTo</t>
        </is>
      </c>
      <c r="C48" s="12" t="inlineStr">
        <is>
          <t>Posting date, high</t>
        </is>
      </c>
      <c r="D48" s="21" t="inlineStr">
        <is>
          <t>recorded</t>
        </is>
      </c>
      <c r="E48" s="22" t="inlineStr">
        <is>
          <t>No</t>
        </is>
      </c>
      <c r="F48" s="23" t="inlineStr">
        <is>
          <t>wnd[0]/usr/ctxtSO_BUDAT-HIGH</t>
        </is>
      </c>
    </row>
    <row r="49">
      <c r="B49" s="20" t="inlineStr">
        <is>
          <t>Fbl1n.DynamicSelections</t>
        </is>
      </c>
      <c r="C49" s="12" t="inlineStr">
        <is>
          <t>Opens the dynamic-selections block. The document number is NOT on the main selection screen -- it lives in dynamic selections, so this has to be pressed before the field below exists</t>
        </is>
      </c>
      <c r="D49" s="21" t="inlineStr">
        <is>
          <t>recorded</t>
        </is>
      </c>
      <c r="E49" s="22" t="inlineStr">
        <is>
          <t>No</t>
        </is>
      </c>
      <c r="F49" s="23" t="inlineStr">
        <is>
          <t>wnd[0]/tbar[1]/btn[16]</t>
        </is>
      </c>
    </row>
    <row r="50" ht="30" customHeight="1">
      <c r="B50" s="20" t="inlineStr">
        <is>
          <t>Fbl1n.DocNumberField</t>
        </is>
      </c>
      <c r="C50" s="12" t="inlineStr">
        <is>
          <t>The document-number field itself, inside dynamic selections. Used when the batch holds a single document, so the multiple-selection dialog is not needed</t>
        </is>
      </c>
      <c r="D50" s="21" t="inlineStr">
        <is>
          <t>recorded</t>
        </is>
      </c>
      <c r="E50" s="22" t="inlineStr">
        <is>
          <t>No</t>
        </is>
      </c>
      <c r="F50" s="23" t="inlineStr">
        <is>
          <t>wnd[0]/usr/ssub%_SUBSCREEN_%_SUB%_CONTAINER:SAPLSSEL:2001/ssubSUBSCREEN_CONTAINER2:SAPLSSEL:2000/ssubSUBSCREEN_CONTAINER:SAPLSSEL:1106/txt%%DYN011-LOW</t>
        </is>
      </c>
    </row>
    <row r="51" ht="30" customHeight="1">
      <c r="B51" s="20" t="inlineStr">
        <is>
          <t>Fbl1n.DocNumberMultiSelect</t>
        </is>
      </c>
      <c r="C51" s="12" t="inlineStr">
        <is>
          <t>Multiple-selection arrow for document number, inside the dynamic-selections subscreen</t>
        </is>
      </c>
      <c r="D51" s="21" t="inlineStr">
        <is>
          <t>recorded</t>
        </is>
      </c>
      <c r="E51" s="22" t="inlineStr">
        <is>
          <t>No</t>
        </is>
      </c>
      <c r="F51" s="23" t="inlineStr">
        <is>
          <t>wnd[0]/usr/ssub%_SUBSCREEN_%_SUB%_CONTAINER:SAPLSSEL:2001/ssubSUBSCREEN_CONTAINER2:SAPLSSEL:2000/ssubSUBSCREEN_CONTAINER:SAPLSSEL:1106/btn%_%%DYN011_%_APP_%-VALU_PUSH</t>
        </is>
      </c>
    </row>
    <row r="52">
      <c r="B52" s="20" t="inlineStr">
        <is>
          <t>MultiSel.PasteFromClipboard</t>
        </is>
      </c>
      <c r="C52" s="12" t="inlineStr">
        <is>
          <t>'Upload from clipboard' on the multiple-selection dialog</t>
        </is>
      </c>
      <c r="D52" s="21" t="inlineStr">
        <is>
          <t>recorded</t>
        </is>
      </c>
      <c r="E52" s="22" t="inlineStr">
        <is>
          <t>No</t>
        </is>
      </c>
      <c r="F52" s="23" t="inlineStr">
        <is>
          <t>wnd[1]/tbar[0]/btn[24]</t>
        </is>
      </c>
    </row>
    <row r="53">
      <c r="B53" s="20" t="inlineStr">
        <is>
          <t>MultiSel.Confirm</t>
        </is>
      </c>
      <c r="C53" s="12" t="inlineStr">
        <is>
          <t>Copy on that dialog</t>
        </is>
      </c>
      <c r="D53" s="21" t="inlineStr">
        <is>
          <t>recorded</t>
        </is>
      </c>
      <c r="E53" s="22" t="inlineStr">
        <is>
          <t>No</t>
        </is>
      </c>
      <c r="F53" s="23" t="inlineStr">
        <is>
          <t>wnd[1]/tbar[0]/btn[8]</t>
        </is>
      </c>
    </row>
    <row r="54">
      <c r="B54" s="20" t="inlineStr">
        <is>
          <t>Fbl1n.ExecuteButton</t>
        </is>
      </c>
      <c r="C54" s="12" t="inlineStr">
        <is>
          <t>Execute</t>
        </is>
      </c>
      <c r="D54" s="21" t="inlineStr">
        <is>
          <t>recorded</t>
        </is>
      </c>
      <c r="E54" s="22" t="inlineStr">
        <is>
          <t>No</t>
        </is>
      </c>
      <c r="F54" s="23" t="inlineStr">
        <is>
          <t>wnd[0]/tbar[1]/btn[8]</t>
        </is>
      </c>
    </row>
    <row r="55">
      <c r="B55" s="20" t="inlineStr">
        <is>
          <t>Fbl1n.ResultAnchor</t>
        </is>
      </c>
      <c r="C55" s="12" t="inlineStr">
        <is>
          <t>Confirms the FBL1N result came up. NOTE: FBL1N renders as a CLASSIC LIST here (lbl[x,y]), not an ALV grid, so there is no grid to read -- the list is exported and read back instead. VERIFY</t>
        </is>
      </c>
      <c r="D55" s="24" t="inlineStr">
        <is>
          <t>VERIFY</t>
        </is>
      </c>
      <c r="E55" s="22" t="inlineStr">
        <is>
          <t>No</t>
        </is>
      </c>
      <c r="F55" s="23" t="inlineStr">
        <is>
          <t>wnd[0]/usr/lbl[164,8]</t>
        </is>
      </c>
    </row>
    <row r="56">
      <c r="B56" s="18" t="inlineStr">
        <is>
          <t>FB03: fallback only, not the normal path</t>
        </is>
      </c>
      <c r="C56" s="19" t="n"/>
      <c r="D56" s="19" t="n"/>
      <c r="E56" s="19" t="n"/>
      <c r="F56" s="19" t="n"/>
    </row>
    <row r="57">
      <c r="B57" s="20" t="inlineStr">
        <is>
          <t>FB03.DocNumber</t>
        </is>
      </c>
      <c r="C57"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7" s="24" t="inlineStr">
        <is>
          <t>VERIFY</t>
        </is>
      </c>
      <c r="E57" s="22" t="inlineStr">
        <is>
          <t>No</t>
        </is>
      </c>
      <c r="F57" s="23" t="inlineStr">
        <is>
          <t>wnd[0]/usr/txtRF05L-BELNR</t>
        </is>
      </c>
    </row>
    <row r="58">
      <c r="B58" s="20" t="inlineStr">
        <is>
          <t>FB03.CompanyCode</t>
        </is>
      </c>
      <c r="C58" s="12" t="inlineStr">
        <is>
          <t>Company code field on that screen. VERIFY</t>
        </is>
      </c>
      <c r="D58" s="24" t="inlineStr">
        <is>
          <t>VERIFY</t>
        </is>
      </c>
      <c r="E58" s="22" t="inlineStr">
        <is>
          <t>No</t>
        </is>
      </c>
      <c r="F58" s="23" t="inlineStr">
        <is>
          <t>wnd[0]/usr/ctxtRF05L-BUKRS</t>
        </is>
      </c>
    </row>
    <row r="59">
      <c r="B59" s="20" t="inlineStr">
        <is>
          <t>FB03.FiscalYear</t>
        </is>
      </c>
      <c r="C59" s="12" t="inlineStr">
        <is>
          <t>Fiscal year field on that screen. VERIFY</t>
        </is>
      </c>
      <c r="D59" s="24" t="inlineStr">
        <is>
          <t>VERIFY</t>
        </is>
      </c>
      <c r="E59" s="22" t="inlineStr">
        <is>
          <t>No</t>
        </is>
      </c>
      <c r="F59" s="23" t="inlineStr">
        <is>
          <t>wnd[0]/usr/txtRF05L-GJAHR</t>
        </is>
      </c>
    </row>
    <row r="60">
      <c r="B60" s="18" t="inlineStr">
        <is>
          <t>Step 10: the largest payment's invoices, and the PDF</t>
        </is>
      </c>
      <c r="C60" s="19" t="n"/>
      <c r="D60" s="19" t="n"/>
      <c r="E60" s="19" t="n"/>
      <c r="F60" s="19" t="n"/>
    </row>
    <row r="61">
      <c r="B61" s="20" t="inlineStr">
        <is>
          <t>Payment.UsageMenu</t>
        </is>
      </c>
      <c r="C61" s="12" t="inlineStr">
        <is>
          <t>Environment &gt; Payment usage from inside the payment document. menu[4] here, not the menu[5] used from the clearing document -- menu indices differ per screen. VERIFY</t>
        </is>
      </c>
      <c r="D61" s="24" t="inlineStr">
        <is>
          <t>VERIFY</t>
        </is>
      </c>
      <c r="E61" s="22" t="inlineStr">
        <is>
          <t>No</t>
        </is>
      </c>
      <c r="F61" s="23" t="inlineStr">
        <is>
          <t>wnd[0]/mbar/menu[4]/menu[3]</t>
        </is>
      </c>
    </row>
    <row r="62">
      <c r="B62" s="20" t="inlineStr">
        <is>
          <t>Invoice.GosToolbox</t>
        </is>
      </c>
      <c r="C62"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2" s="21" t="inlineStr">
        <is>
          <t>recorded</t>
        </is>
      </c>
      <c r="E62" s="22" t="inlineStr">
        <is>
          <t>No</t>
        </is>
      </c>
      <c r="F62" s="23" t="inlineStr">
        <is>
          <t>wnd[0]/titl/shellcont[1]/shell</t>
        </is>
      </c>
    </row>
    <row r="63">
      <c r="B63" s="20" t="inlineStr">
        <is>
          <t>Invoice.AttachListGrid</t>
        </is>
      </c>
      <c r="C63" s="12" t="inlineStr">
        <is>
          <t>Attachment-list grid. CONTAINER_0100</t>
        </is>
      </c>
      <c r="D63" s="21" t="inlineStr">
        <is>
          <t>recorded</t>
        </is>
      </c>
      <c r="E63" s="22" t="inlineStr">
        <is>
          <t>No</t>
        </is>
      </c>
      <c r="F63" s="23" t="inlineStr">
        <is>
          <t>wnd[1]/usr/cntlCONTAINER_0100/shellcont/shell</t>
        </is>
      </c>
    </row>
    <row r="64">
      <c r="B64" s="20" t="inlineStr">
        <is>
          <t>Invoice.AttachListColumn</t>
        </is>
      </c>
      <c r="C64" s="12" t="inlineStr">
        <is>
          <t>Column used to select the attachment row</t>
        </is>
      </c>
      <c r="D64" s="21" t="inlineStr">
        <is>
          <t>recorded</t>
        </is>
      </c>
      <c r="E64" s="22" t="inlineStr">
        <is>
          <t>No</t>
        </is>
      </c>
      <c r="F64" s="23" t="inlineStr">
        <is>
          <t>BITM_DESCR</t>
        </is>
      </c>
    </row>
    <row r="65">
      <c r="B65" s="20" t="inlineStr">
        <is>
          <t>Invoice.ExportMenuItem</t>
        </is>
      </c>
      <c r="C65" s="12" t="inlineStr">
        <is>
          <t>Context-menu entry that saves the attachment. A CONTEXT MENU item, not the toolbar button that was predicted</t>
        </is>
      </c>
      <c r="D65" s="21" t="inlineStr">
        <is>
          <t>recorded</t>
        </is>
      </c>
      <c r="E65" s="22" t="inlineStr">
        <is>
          <t>No</t>
        </is>
      </c>
      <c r="F65" s="23" t="inlineStr">
        <is>
          <t>%ATTA_EXPORT</t>
        </is>
      </c>
    </row>
    <row r="66">
      <c r="B66" s="20" t="inlineStr">
        <is>
          <t>Invoice.SaveWindow</t>
        </is>
      </c>
      <c r="C66" s="12" t="inlineStr">
        <is>
          <t>Window the PDF save dialog opens in. wnd[2], because the attachment list is already wnd[1]</t>
        </is>
      </c>
      <c r="D66" s="21" t="inlineStr">
        <is>
          <t>recorded</t>
        </is>
      </c>
      <c r="E66" s="22" t="inlineStr">
        <is>
          <t>No</t>
        </is>
      </c>
      <c r="F66" s="23" t="inlineStr">
        <is>
          <t>wnd[2]</t>
        </is>
      </c>
    </row>
    <row r="67">
      <c r="B67" s="20" t="inlineStr">
        <is>
          <t>Invoice.CloseAttachList</t>
        </is>
      </c>
      <c r="C67" s="12" t="inlineStr">
        <is>
          <t>Closes the attachment list afterwards</t>
        </is>
      </c>
      <c r="D67" s="21" t="inlineStr">
        <is>
          <t>recorded</t>
        </is>
      </c>
      <c r="E67" s="22" t="inlineStr">
        <is>
          <t>No</t>
        </is>
      </c>
      <c r="F67" s="23" t="inlineStr">
        <is>
          <t>wnd[1]/tbar[0]/btn[0]</t>
        </is>
      </c>
    </row>
    <row r="69" ht="30" customHeight="1">
      <c r="B69" s="16" t="inlineStr">
        <is>
          <t>The macro reads column F only. A blank 'Required = Yes' row aborts the run with a message naming the missing key, rather than guessing at an ID.</t>
        </is>
      </c>
    </row>
    <row r="70" ht="30" customHeight="1">
      <c r="B70" s="16" t="inlineStr">
        <is>
          <t>FEBAN's selection screen is a modal popup on this system (wnd[1]), not a full screen. That is why FEBAN.SelectionWindow exists -- the macro has to know which window to press Execute in.</t>
        </is>
      </c>
    </row>
    <row r="71" ht="30" customHeight="1">
      <c r="B71"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44:F44"/>
    <mergeCell ref="B69:F69"/>
    <mergeCell ref="B6:F6"/>
    <mergeCell ref="B34:F34"/>
    <mergeCell ref="B15:F15"/>
    <mergeCell ref="B28:F28"/>
    <mergeCell ref="B3:F3"/>
    <mergeCell ref="B37:F37"/>
    <mergeCell ref="B60:F60"/>
    <mergeCell ref="B22:F22"/>
    <mergeCell ref="B71:F71"/>
    <mergeCell ref="B32:F32"/>
    <mergeCell ref="B26:F26"/>
    <mergeCell ref="B56:F56"/>
    <mergeCell ref="B70:F70"/>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2026-07-30T15:10:35Z</dcterms:created>
  <dcterms:modified xsi:type="dcterms:W3CDTF">2026-07-30T15:10:35Z</dcterms:modified>
</cp:coreProperties>
</file>