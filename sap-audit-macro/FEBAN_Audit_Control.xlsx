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rol" sheetId="1" state="visible" r:id="rId1"/>
    <sheet name="Screen Map" sheetId="2" state="visible" r:id="rId2"/>
    <sheet name="Samples" sheetId="3" state="visible" r:id="rId3"/>
    <sheet name="Log" sheetId="4" state="visible" r:id="rId4"/>
    <sheet name="Data Issues" sheetId="5" state="visible" r:id="rId5"/>
  </sheets>
  <definedNames>
    <definedName name="_xlnm._FilterDatabase" localSheetId="2" hidden="1">'Samples'!$A$4:$P$60</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3">
    <font>
      <name val="Calibri"/>
      <family val="2"/>
      <color theme="1"/>
      <sz val="11"/>
      <scheme val="minor"/>
    </font>
    <font>
      <name val="Arial"/>
      <b val="1"/>
      <color rgb="001F3864"/>
      <sz val="14"/>
    </font>
    <font>
      <name val="Arial"/>
      <i val="1"/>
      <color rgb="00595959"/>
      <sz val="9"/>
    </font>
    <font>
      <name val="Arial"/>
      <b val="1"/>
      <color rgb="001F3864"/>
      <sz val="11"/>
    </font>
    <font>
      <name val="Arial"/>
      <sz val="10"/>
    </font>
    <font>
      <name val="Arial"/>
      <color rgb="000000FF"/>
      <sz val="10"/>
    </font>
    <font>
      <name val="Arial"/>
      <b val="1"/>
      <color rgb="00FFFFFF"/>
      <sz val="10"/>
    </font>
    <font>
      <name val="Arial"/>
      <b val="1"/>
      <sz val="10"/>
    </font>
    <font>
      <name val="Arial"/>
      <b val="1"/>
      <color rgb="00375623"/>
      <sz val="9"/>
    </font>
    <font>
      <name val="Arial"/>
      <color rgb="000000FF"/>
      <sz val="8"/>
    </font>
    <font>
      <name val="Arial"/>
      <b val="1"/>
      <color rgb="00BF8F00"/>
      <sz val="9"/>
    </font>
    <font>
      <name val="Arial"/>
      <color rgb="00C00000"/>
      <sz val="8"/>
    </font>
    <font>
      <name val="Arial"/>
      <sz val="9"/>
    </font>
  </fonts>
  <fills count="7">
    <fill>
      <patternFill/>
    </fill>
    <fill>
      <patternFill patternType="gray125"/>
    </fill>
    <fill>
      <patternFill patternType="solid">
        <fgColor rgb="00FFFF00"/>
      </patternFill>
    </fill>
    <fill>
      <patternFill patternType="solid">
        <fgColor rgb="00EDEDED"/>
      </patternFill>
    </fill>
    <fill>
      <patternFill patternType="solid">
        <fgColor rgb="00FFF2CC"/>
      </patternFill>
    </fill>
    <fill>
      <patternFill patternType="solid">
        <fgColor rgb="001F3864"/>
      </patternFill>
    </fill>
    <fill>
      <patternFill patternType="solid">
        <fgColor rgb="00DEEAF6"/>
      </patternFill>
    </fill>
  </fills>
  <borders count="3">
    <border>
      <left/>
      <right/>
      <top/>
      <bottom/>
      <diagonal/>
    </border>
    <border>
      <left style="thin">
        <color rgb="00BFBFBF"/>
      </left>
      <right style="thin">
        <color rgb="00BFBFBF"/>
      </right>
      <top style="thin">
        <color rgb="00BFBFBF"/>
      </top>
      <bottom style="thin">
        <color rgb="00BFBFBF"/>
      </bottom>
    </border>
    <border>
      <top style="double">
        <color rgb="001F3864"/>
      </top>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2" fillId="0" borderId="0" applyAlignment="1" pivotButton="0" quotePrefix="0" xfId="0">
      <alignment wrapText="1"/>
    </xf>
    <xf numFmtId="0" fontId="4" fillId="3" borderId="0" pivotButton="0" quotePrefix="0" xfId="0"/>
    <xf numFmtId="0" fontId="5" fillId="0" borderId="0" pivotButton="0" quotePrefix="0" xfId="0"/>
    <xf numFmtId="0" fontId="4" fillId="4" borderId="0" pivotButton="0" quotePrefix="0" xfId="0"/>
    <xf numFmtId="0" fontId="6" fillId="5" borderId="1" applyAlignment="1" pivotButton="0" quotePrefix="0" xfId="0">
      <alignment horizontal="center" vertical="center"/>
    </xf>
    <xf numFmtId="0" fontId="4" fillId="0" borderId="1" pivotButton="0" quotePrefix="0" xfId="0"/>
    <xf numFmtId="0" fontId="5" fillId="2" borderId="1" pivotButton="0" quotePrefix="0" xfId="0"/>
    <xf numFmtId="0" fontId="2" fillId="0" borderId="1" applyAlignment="1" pivotButton="0" quotePrefix="0" xfId="0">
      <alignment vertical="top" wrapText="1"/>
    </xf>
    <xf numFmtId="4" fontId="5" fillId="2" borderId="1" pivotButton="0" quotePrefix="0" xfId="0"/>
    <xf numFmtId="0" fontId="4" fillId="0" borderId="0" pivotButton="0" quotePrefix="0" xfId="0"/>
    <xf numFmtId="0" fontId="4" fillId="3" borderId="1" pivotButton="0" quotePrefix="0" xfId="0"/>
    <xf numFmtId="0" fontId="2" fillId="0" borderId="0" applyAlignment="1" pivotButton="0" quotePrefix="0" xfId="0">
      <alignment vertical="top" wrapText="1"/>
    </xf>
    <xf numFmtId="0" fontId="6" fillId="5" borderId="1" applyAlignment="1" pivotButton="0" quotePrefix="0" xfId="0">
      <alignment horizontal="center" vertical="center" wrapText="1"/>
    </xf>
    <xf numFmtId="0" fontId="3" fillId="6" borderId="1" pivotButton="0" quotePrefix="0" xfId="0"/>
    <xf numFmtId="0" fontId="0" fillId="6" borderId="1" pivotButton="0" quotePrefix="0" xfId="0"/>
    <xf numFmtId="0" fontId="7" fillId="0" borderId="1" pivotButton="0" quotePrefix="0" xfId="0"/>
    <xf numFmtId="0" fontId="8" fillId="0" borderId="1" applyAlignment="1" pivotButton="0" quotePrefix="0" xfId="0">
      <alignment horizontal="center"/>
    </xf>
    <xf numFmtId="0" fontId="4" fillId="0" borderId="1" applyAlignment="1" pivotButton="0" quotePrefix="0" xfId="0">
      <alignment horizontal="center"/>
    </xf>
    <xf numFmtId="0" fontId="9" fillId="2" borderId="1" applyAlignment="1" pivotButton="0" quotePrefix="0" xfId="0">
      <alignment vertical="top" wrapText="1"/>
    </xf>
    <xf numFmtId="0" fontId="10" fillId="0" borderId="1" applyAlignment="1" pivotButton="0" quotePrefix="0" xfId="0">
      <alignment horizontal="center"/>
    </xf>
    <xf numFmtId="165" fontId="4" fillId="0" borderId="1" pivotButton="0" quotePrefix="0" xfId="0"/>
    <xf numFmtId="4" fontId="4" fillId="0" borderId="1" pivotButton="0" quotePrefix="0" xfId="0"/>
    <xf numFmtId="0" fontId="11" fillId="0" borderId="1" applyAlignment="1" pivotButton="0" quotePrefix="0" xfId="0">
      <alignment vertical="top" wrapText="1"/>
    </xf>
    <xf numFmtId="0" fontId="4" fillId="3" borderId="1" applyAlignment="1" pivotButton="0" quotePrefix="0" xfId="0">
      <alignment horizontal="center"/>
    </xf>
    <xf numFmtId="0" fontId="5" fillId="2" borderId="1" applyAlignment="1" pivotButton="0" quotePrefix="0" xfId="0">
      <alignment horizontal="center"/>
    </xf>
    <xf numFmtId="0" fontId="7" fillId="0" borderId="0" pivotButton="0" quotePrefix="0" xfId="0"/>
    <xf numFmtId="4" fontId="7" fillId="0" borderId="2" pivotButton="0" quotePrefix="0" xfId="0"/>
    <xf numFmtId="0" fontId="1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build_control_workbook.py</author>
  </authors>
  <commentList>
    <comment ref="C21" authorId="0" shapeId="0">
      <text>
        <t>DRY RUN is the safe default. It navigates and logs but exports nothing.</t>
      </text>
    </comment>
  </commentList>
</comments>
</file>

<file path=xl/comments/comment2.xml><?xml version="1.0" encoding="utf-8"?>
<comments xmlns="http://schemas.openxmlformats.org/spreadsheetml/2006/main">
  <authors>
    <author>build_control_workbook.py</author>
  </authors>
  <commentList>
    <comment ref="P4" authorId="0" shapeId="0">
      <text>
        <t>Set to No to leave a row out of the run. Blank counts as Yes. Use the autofilter on this column, or modSelect.IncludeOnlyMonth, to pick a subset.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001F3864"/>
    <outlinePr summaryBelow="1" summaryRight="1"/>
    <pageSetUpPr/>
  </sheetPr>
  <dimension ref="B2:D63"/>
  <sheetViews>
    <sheetView workbookViewId="0">
      <selection activeCell="A1" sqref="A1"/>
    </sheetView>
  </sheetViews>
  <sheetFormatPr baseColWidth="8" defaultRowHeight="15"/>
  <cols>
    <col width="3" customWidth="1" min="1" max="1"/>
    <col width="38" customWidth="1" min="2" max="2"/>
    <col width="30" customWidth="1" min="3" max="3"/>
    <col width="78" customWidth="1" min="4" max="4"/>
  </cols>
  <sheetData>
    <row r="2">
      <c r="B2" s="1" t="inlineStr">
        <is>
          <t>FEBAN audit extract - control sheet</t>
        </is>
      </c>
    </row>
    <row r="3">
      <c r="B3" s="2" t="inlineStr">
        <is>
          <t>Fill in the yellow cells, paste your recorded element IDs into 'Screen Map', then run modMain.RunExtract from the VBA editor.</t>
        </is>
      </c>
    </row>
    <row r="5">
      <c r="B5" s="3" t="inlineStr">
        <is>
          <t>Legend</t>
        </is>
      </c>
    </row>
    <row r="6">
      <c r="B6" s="4" t="inlineStr">
        <is>
          <t>Yellow fill</t>
        </is>
      </c>
      <c r="C6" s="5" t="inlineStr">
        <is>
          <t>You fill this in. The macro reads it and never overwrites it.</t>
        </is>
      </c>
    </row>
    <row r="7">
      <c r="B7" s="6" t="inlineStr">
        <is>
          <t>Grey fill</t>
        </is>
      </c>
      <c r="C7" s="5" t="inlineStr">
        <is>
          <t>The macro writes here. Do not edit -- your edits are overwritten each run.</t>
        </is>
      </c>
    </row>
    <row r="8">
      <c r="B8" s="7" t="inlineStr">
        <is>
          <t>Blue text</t>
        </is>
      </c>
      <c r="C8" s="5" t="inlineStr">
        <is>
          <t>A hardcoded input value.</t>
        </is>
      </c>
    </row>
    <row r="9">
      <c r="B9" s="8" t="inlineStr">
        <is>
          <t>Cream fill</t>
        </is>
      </c>
      <c r="C9" s="5" t="inlineStr">
        <is>
          <t>An illustrative example, not live data. Delete or overwrite it.</t>
        </is>
      </c>
    </row>
    <row r="12">
      <c r="B12" s="9" t="inlineStr">
        <is>
          <t>Setting</t>
        </is>
      </c>
      <c r="C12" s="9" t="inlineStr">
        <is>
          <t>Value</t>
        </is>
      </c>
      <c r="D12" s="9" t="inlineStr">
        <is>
          <t>Notes</t>
        </is>
      </c>
    </row>
    <row r="13">
      <c r="B13" s="10" t="inlineStr">
        <is>
          <t>Expected SAP system ID (SID)</t>
        </is>
      </c>
      <c r="C13" s="11" t="inlineStr">
        <is>
          <t>PP2</t>
        </is>
      </c>
      <c r="D13" s="12" t="inlineStr">
        <is>
          <t>The macro aborts if the attached session reports a different SID. Stops an audit extract being run against the wrong system.</t>
        </is>
      </c>
    </row>
    <row r="14">
      <c r="B14" s="10" t="inlineStr">
        <is>
          <t>Expected SAP client</t>
        </is>
      </c>
      <c r="C14" s="11" t="inlineStr"/>
      <c r="D14" s="12" t="inlineStr">
        <is>
          <t>Optional. Leave blank to skip the client check.</t>
        </is>
      </c>
    </row>
    <row r="15">
      <c r="B15" s="10" t="inlineStr">
        <is>
          <t>Company code</t>
        </is>
      </c>
      <c r="C15" s="11" t="inlineStr">
        <is>
          <t>GBKM</t>
        </is>
      </c>
      <c r="D15" s="12" t="inlineStr">
        <is>
          <t>Per the audit request.</t>
        </is>
      </c>
    </row>
    <row r="16">
      <c r="B16" s="10" t="inlineStr">
        <is>
          <t>Transaction for statement search</t>
        </is>
      </c>
      <c r="C16" s="11" t="inlineStr">
        <is>
          <t>FEBAN</t>
        </is>
      </c>
      <c r="D16" s="12" t="inlineStr">
        <is>
          <t>FEBAN is a POST-PROCESSING transaction, not a display-only one. See README, 'Why FEBAN is not read-only'. Set to FF.6 for a display-only statement view.</t>
        </is>
      </c>
    </row>
    <row r="17">
      <c r="B17" s="10" t="inlineStr">
        <is>
          <t>House bank</t>
        </is>
      </c>
      <c r="C17" s="11" t="inlineStr"/>
      <c r="D17" s="12" t="inlineStr">
        <is>
          <t>Optional FEBAN filter. Leave blank for all house banks.</t>
        </is>
      </c>
    </row>
    <row r="18">
      <c r="B18" s="10" t="inlineStr">
        <is>
          <t>Account ID</t>
        </is>
      </c>
      <c r="C18" s="11" t="inlineStr"/>
      <c r="D18" s="12" t="inlineStr">
        <is>
          <t>Optional FEBAN filter. Leave blank for all accounts.</t>
        </is>
      </c>
    </row>
    <row r="19">
      <c r="B19" s="10" t="inlineStr">
        <is>
          <t>Download root folder</t>
        </is>
      </c>
      <c r="C19" s="11" t="inlineStr">
        <is>
          <t>C:\Users\eslucres\Documents\Audit GBKM</t>
        </is>
      </c>
      <c r="D19" s="12" t="inlineStr">
        <is>
          <t>Taken from recordings/Audit.vbs. Created if missing. One subfolder per month tab, e.g. ...\Audit GBKM\Sep 25.</t>
        </is>
      </c>
    </row>
    <row r="20">
      <c r="B20" s="10" t="inlineStr">
        <is>
          <t>Confirming party name</t>
        </is>
      </c>
      <c r="C20" s="11" t="inlineStr">
        <is>
          <t>SANTANDER SCF</t>
        </is>
      </c>
      <c r="D20" s="12" t="inlineStr">
        <is>
          <t>If the largest ZP payment of the batch is to this party, it is a confirming (supply-chain-finance) payment and needs the extra hop to reach the supplier invoices. Matched on letters and digits, so 'SCF Santander' also matches, but 'SANTANDER UK PLC' does not.</t>
        </is>
      </c>
    </row>
    <row r="21">
      <c r="B21" s="10" t="inlineStr">
        <is>
          <t>Run mode</t>
        </is>
      </c>
      <c r="C21" s="11" t="inlineStr">
        <is>
          <t>DRY RUN</t>
        </is>
      </c>
      <c r="D21" s="12" t="inlineStr">
        <is>
          <t>Both modes run the WHOLE chain and write the same files -- the exports are read-only on the SAP side, and the chain reads them back, so it cannot run without them. The only difference is where they land: DRY RUN puts everything under a '_dry run' subfolder of the download root, so a rehearsal is never mistaken for the evidence pack. Do one clean DRY RUN, read the Log, then switch.</t>
        </is>
      </c>
    </row>
    <row r="22">
      <c r="B22" s="10" t="inlineStr">
        <is>
          <t>Amount match tolerance</t>
        </is>
      </c>
      <c r="C22" s="13" t="n">
        <v>0.01</v>
      </c>
      <c r="D22" s="12" t="inlineStr">
        <is>
          <t>Absolute currency tolerance when matching a sample amount to a statement line.</t>
        </is>
      </c>
    </row>
    <row r="23">
      <c r="B23" s="10" t="inlineStr">
        <is>
          <t>Stop on first error</t>
        </is>
      </c>
      <c r="C23" s="11" t="inlineStr">
        <is>
          <t>YES</t>
        </is>
      </c>
      <c r="D23" s="12" t="inlineStr">
        <is>
          <t>YES halts the run on the first unrecognised screen. NO logs and continues to the next sample.</t>
        </is>
      </c>
    </row>
    <row r="24">
      <c r="B24" s="10" t="inlineStr">
        <is>
          <t>Max seconds to wait per screen</t>
        </is>
      </c>
      <c r="C24" s="11" t="n">
        <v>60</v>
      </c>
      <c r="D24" s="12" t="inlineStr">
        <is>
          <t>Guards against an indefinite hang when SAP is slow.</t>
        </is>
      </c>
    </row>
    <row r="25">
      <c r="B25" s="10" t="inlineStr">
        <is>
          <t>SAP date format</t>
        </is>
      </c>
      <c r="C25" s="11" t="inlineStr">
        <is>
          <t>DDMMYYYY</t>
        </is>
      </c>
      <c r="D25" s="12" t="inlineStr">
        <is>
          <t>How dates are typed into SAP. DDMMYYYY = 01092025, which is what recordings/Audit.vbs used and therefore what is known to work here. Also supported: DMY = 31.12.2025, DMY/ = 31/12/2025, MDY = 12/31/2025, YMD = 2025-12-31. Get this wrong and FEBAN silently searches the wrong period.</t>
        </is>
      </c>
    </row>
    <row r="26">
      <c r="B26" s="10" t="inlineStr">
        <is>
          <t>Payment document type</t>
        </is>
      </c>
      <c r="C26" s="11" t="inlineStr">
        <is>
          <t>ZP</t>
        </is>
      </c>
      <c r="D26" s="12" t="inlineStr">
        <is>
          <t>Only documents of these types are taken from the Payment Usage list and fed to FBL1N. ZP is the SAP standard for a payment document. Takes a comma-separated list -- 'ZP, ZV, KZ' -- for batches paid outside the normal payment run. When nothing matches, the Log names the types the file actually held.</t>
        </is>
      </c>
    </row>
    <row r="27">
      <c r="B27" s="10" t="inlineStr">
        <is>
          <t>Clearing line posting key</t>
        </is>
      </c>
      <c r="C27" s="11" t="inlineStr">
        <is>
          <t>40</t>
        </is>
      </c>
      <c r="D27" s="12" t="inlineStr">
        <is>
          <t>Step 4 opens the first line-item row with this posting key that also carries a clearing document. Blank means 'any row with a clearing document'.</t>
        </is>
      </c>
    </row>
    <row r="28">
      <c r="B28" s="10" t="inlineStr">
        <is>
          <t>Payment usage document column</t>
        </is>
      </c>
      <c r="C28" s="11" t="inlineStr"/>
      <c r="D28" s="12" t="inlineStr">
        <is>
          <t>Caption of the document-number column in the exported Payment Usage list, if the macro cannot find it. Open the first exported file and copy the heading exactly.</t>
        </is>
      </c>
    </row>
    <row r="29">
      <c r="B29" s="10" t="inlineStr">
        <is>
          <t>Payment usage type column</t>
        </is>
      </c>
      <c r="C29" s="11" t="inlineStr"/>
      <c r="D29" s="12" t="inlineStr">
        <is>
          <t>Caption of the document-type column in that same file. Without it every document is taken rather than only the ZP ones, and the Log says so.</t>
        </is>
      </c>
    </row>
    <row r="30">
      <c r="B30" s="10" t="inlineStr">
        <is>
          <t>ZP list amount column</t>
        </is>
      </c>
      <c r="C30" s="11" t="inlineStr"/>
      <c r="D30" s="12" t="inlineStr">
        <is>
          <t>Caption of the amount column in the exported FBL1N payment list. Leave blank -- the macro tries the caption, then the SAP technical name, then works it out from what the column contains, which is language-independent. Only fill this in if the Log says it picked the wrong one.</t>
        </is>
      </c>
    </row>
    <row r="31">
      <c r="B31" s="10" t="inlineStr">
        <is>
          <t>ZP list vendor column</t>
        </is>
      </c>
      <c r="C31" s="11" t="inlineStr"/>
      <c r="D31" s="12" t="inlineStr">
        <is>
          <t>Caption of the vendor-name column in that same file. Same rules.</t>
        </is>
      </c>
    </row>
    <row r="32">
      <c r="B32" s="10" t="inlineStr">
        <is>
          <t>ZP list document column</t>
        </is>
      </c>
      <c r="C32" s="11" t="inlineStr"/>
      <c r="D32" s="12" t="inlineStr">
        <is>
          <t>Caption of the document-number column in that same file. Same rules.</t>
        </is>
      </c>
    </row>
    <row r="33">
      <c r="B33" s="10" t="inlineStr">
        <is>
          <t>Invoice document type</t>
        </is>
      </c>
      <c r="C33" s="11" t="inlineStr">
        <is>
          <t>KR</t>
        </is>
      </c>
      <c r="D33" s="12" t="inlineStr">
        <is>
          <t>The PDF is taken from the invoice, which is the KR document and carries a NEGATIVE amount. The list it is picked from holds several types at once -- ZP payments, KR invoices, SB statement documents -- so without this filter the largest row is usually a payment, not an invoice. Comparisons are on magnitude, so the negative sign does not matter.</t>
        </is>
      </c>
    </row>
    <row r="34">
      <c r="B34" s="10" t="inlineStr">
        <is>
          <t>Invoice list amount column</t>
        </is>
      </c>
      <c r="C34" s="11" t="inlineStr"/>
      <c r="D34" s="12" t="inlineStr">
        <is>
          <t>Santander SCF route only. Caption of the amount column in the exported list of invoices behind an SCF payment. Blank falls back to a built-in list of captions.</t>
        </is>
      </c>
    </row>
    <row r="35">
      <c r="B35" s="10" t="inlineStr">
        <is>
          <t>Invoice list supplier column</t>
        </is>
      </c>
      <c r="C35" s="11" t="inlineStr"/>
      <c r="D35" s="12" t="inlineStr">
        <is>
          <t>Caption of the supplier column in that same file.</t>
        </is>
      </c>
    </row>
    <row r="36">
      <c r="B36" s="10" t="inlineStr">
        <is>
          <t>Invoice list document column</t>
        </is>
      </c>
      <c r="C36" s="11" t="inlineStr"/>
      <c r="D36" s="12" t="inlineStr">
        <is>
          <t>Caption of the invoice-number column in that same file.</t>
        </is>
      </c>
    </row>
    <row r="37">
      <c r="B37" s="10" t="inlineStr">
        <is>
          <t>Extra popup titles to allow</t>
        </is>
      </c>
      <c r="C37" s="11" t="inlineStr"/>
      <c r="D37" s="12" t="inlineStr">
        <is>
          <t>Pipe-separated. The run stops on any modal popup it does not recognise rather than pressing Enter through it. The save dialog and the attachment list are identified by their contents, so language does not matter for those -- add a title here only if your system shows a popup the run does not expect.</t>
        </is>
      </c>
    </row>
    <row r="38">
      <c r="B38" s="10" t="inlineStr">
        <is>
          <t>Operator name</t>
        </is>
      </c>
      <c r="C38" s="11" t="inlineStr"/>
      <c r="D38" s="12" t="inlineStr">
        <is>
          <t>Written into the log for the audit trail.</t>
        </is>
      </c>
    </row>
    <row r="41">
      <c r="B41" s="3" t="inlineStr">
        <is>
          <t>Progress (formulas over the Samples sheet)</t>
        </is>
      </c>
    </row>
    <row r="42">
      <c r="B42" s="14" t="inlineStr">
        <is>
          <t>Samples in the sheet</t>
        </is>
      </c>
      <c r="C42" s="15">
        <f>COUNTA(Samples!A5:A1000)</f>
        <v/>
      </c>
    </row>
    <row r="43">
      <c r="B43" s="14" t="inlineStr">
        <is>
          <t>Included in the next run</t>
        </is>
      </c>
      <c r="C43" s="15">
        <f>COUNTIF(Samples!P5:P1000,"Yes")+COUNTBLANK(Samples!P5:P60)</f>
        <v/>
      </c>
    </row>
    <row r="44">
      <c r="B44" s="14" t="inlineStr">
        <is>
          <t>Excluded</t>
        </is>
      </c>
      <c r="C44" s="15">
        <f>COUNTIF(Samples!P5:P1000,"No")</f>
        <v/>
      </c>
    </row>
    <row r="45">
      <c r="B45" s="14" t="inlineStr">
        <is>
          <t>DONE -- invoice downloaded</t>
        </is>
      </c>
      <c r="C45" s="15">
        <f>COUNTIF(Samples!J5:J1000,"DONE")</f>
        <v/>
      </c>
    </row>
    <row r="46">
      <c r="B46" s="14" t="inlineStr">
        <is>
          <t>BLOCKED_FBL1N -- steps 8-9 not mapped yet</t>
        </is>
      </c>
      <c r="C46" s="15">
        <f>COUNTIF(Samples!J5:J1000,"BLOCKED_FBL1N")</f>
        <v/>
      </c>
    </row>
    <row r="47">
      <c r="B47" s="14" t="inlineStr">
        <is>
          <t>BLOCKED_INVOICE -- reached the payment, no PDF</t>
        </is>
      </c>
      <c r="C47" s="15">
        <f>COUNTIF(Samples!J5:J1000,"BLOCKED_INVOICE")</f>
        <v/>
      </c>
    </row>
    <row r="48">
      <c r="B48" s="14" t="inlineStr">
        <is>
          <t>PARTIAL -- traced, no invoice file</t>
        </is>
      </c>
      <c r="C48" s="15">
        <f>COUNTIF(Samples!J5:J1000,"PARTIAL")</f>
        <v/>
      </c>
    </row>
    <row r="49">
      <c r="B49" s="14" t="inlineStr">
        <is>
          <t>NOT FOUND -- no matching statement line</t>
        </is>
      </c>
      <c r="C49" s="15">
        <f>COUNTIF(Samples!J5:J1000,"NOT FOUND")</f>
        <v/>
      </c>
    </row>
    <row r="50">
      <c r="B50" s="14" t="inlineStr">
        <is>
          <t>AMBIGUOUS -- more than one line matched</t>
        </is>
      </c>
      <c r="C50" s="15">
        <f>COUNTIF(Samples!J5:J1000,"AMBIGUOUS")</f>
        <v/>
      </c>
    </row>
    <row r="51">
      <c r="B51" s="14" t="inlineStr">
        <is>
          <t>ERROR</t>
        </is>
      </c>
      <c r="C51" s="15">
        <f>COUNTIF(Samples!J5:J1000,"ERROR")</f>
        <v/>
      </c>
    </row>
    <row r="52">
      <c r="B52" s="14" t="inlineStr">
        <is>
          <t>Not started</t>
        </is>
      </c>
      <c r="C52" s="15">
        <f>COUNTBLANK(Samples!J5:J60)</f>
        <v/>
      </c>
    </row>
    <row r="53">
      <c r="B53" s="14" t="inlineStr">
        <is>
          <t>Files downloaded</t>
        </is>
      </c>
      <c r="C53" s="15">
        <f>SUM(Samples!N5:N1000)</f>
        <v/>
      </c>
    </row>
    <row r="54">
      <c r="B54" s="14" t="inlineStr">
        <is>
          <t>Samples with no named beneficiary in the request</t>
        </is>
      </c>
      <c r="C54" s="15">
        <f>COUNTIF(Samples!I5:I1000,"*no_named_beneficiary*")</f>
        <v/>
      </c>
    </row>
    <row r="55">
      <c r="B55" s="14" t="inlineStr">
        <is>
          <t>Reached a confirming (Santander SCF) payment</t>
        </is>
      </c>
      <c r="C55" s="15">
        <f>COUNTIF(Samples!O5:O1000,"*confirming party*")</f>
        <v/>
      </c>
    </row>
    <row r="56">
      <c r="B56" s="14" t="inlineStr">
        <is>
          <t>Samples the request already names as SANTANDER SCF</t>
        </is>
      </c>
      <c r="C56" s="15">
        <f>COUNTIF(Samples!G5:G1000,"*SANTANDER*")</f>
        <v/>
      </c>
    </row>
    <row r="59">
      <c r="B59" s="3" t="inlineStr">
        <is>
          <t>Assumptions baked into this workbook</t>
        </is>
      </c>
    </row>
    <row r="60" ht="28" customHeight="1">
      <c r="B60" s="14" t="inlineStr">
        <is>
          <t>1.</t>
        </is>
      </c>
      <c r="C60" s="16" t="inlineStr">
        <is>
          <t>Company code GBKM and the FEBAN transaction are taken from the requester's instruction, not from the auditor's workbook, which names neither.</t>
        </is>
      </c>
    </row>
    <row r="61" ht="28" customHeight="1">
      <c r="B61" s="14" t="inlineStr">
        <is>
          <t>2.</t>
        </is>
      </c>
      <c r="C61" s="16" t="inlineStr">
        <is>
          <t>The FEBAN statement-date range for each sample is the first to the last calendar day of the month containing that sample's payment date (column C and D formulas on 'Samples').</t>
        </is>
      </c>
    </row>
    <row r="62" ht="28" customHeight="1">
      <c r="B62" s="14" t="inlineStr">
        <is>
          <t>3.</t>
        </is>
      </c>
      <c r="C62" s="16" t="inlineStr">
        <is>
          <t>Sample amounts are stored as positive numbers. The auditor's workbook shows them unsigned even where the bank statement shows a debit.</t>
        </is>
      </c>
    </row>
    <row r="63" ht="28" customHeight="1">
      <c r="B63" s="14" t="inlineStr">
        <is>
          <t>4.</t>
        </is>
      </c>
      <c r="C63" s="16" t="inlineStr">
        <is>
          <t>Source of the sample list: 'Paper Samples' sheet, rows 5-60, of Samples_Paper_SURL260716_152455.962.xlsx as supplied by the auditor.</t>
        </is>
      </c>
    </row>
  </sheetData>
  <mergeCells count="4">
    <mergeCell ref="C60:D60"/>
    <mergeCell ref="C63:D63"/>
    <mergeCell ref="C61:D61"/>
    <mergeCell ref="C62:D62"/>
  </mergeCells>
  <dataValidations count="2">
    <dataValidation sqref="C21" showDropDown="0" showInputMessage="0" showErrorMessage="0" allowBlank="0" type="list">
      <formula1>"DRY RUN,EXTRACT"</formula1>
    </dataValidation>
    <dataValidation sqref="C23" showDropDown="0" showInputMessage="0" showErrorMessage="0" allowBlank="0" type="list">
      <formula1>"YES,NO"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C55A11"/>
    <outlinePr summaryBelow="1" summaryRight="1"/>
    <pageSetUpPr/>
  </sheetPr>
  <dimension ref="A2:F72"/>
  <sheetViews>
    <sheetView workbookViewId="0">
      <pane ySplit="5" topLeftCell="A6" activePane="bottomLeft" state="frozen"/>
      <selection pane="bottomLeft" activeCell="A1" sqref="A1"/>
    </sheetView>
  </sheetViews>
  <sheetFormatPr baseColWidth="8" defaultRowHeight="15"/>
  <cols>
    <col width="3" customWidth="1" min="1" max="1"/>
    <col width="30" customWidth="1" min="2" max="2"/>
    <col width="52" customWidth="1" min="3" max="3"/>
    <col width="62" customWidth="1" min="4" max="4"/>
    <col width="11" customWidth="1" min="5" max="5"/>
    <col width="62" customWidth="1" min="6" max="6"/>
  </cols>
  <sheetData>
    <row r="2">
      <c r="B2" s="1" t="inlineStr">
        <is>
          <t>SAP element IDs</t>
        </is>
      </c>
    </row>
    <row r="3" ht="56" customHeight="1">
      <c r="B3" s="16" t="inlineStr">
        <is>
          <t>Column F is what the macro reads. Column D says how much to trust it. recorded = came straight out of a recording in recordings/, so it should be right for this system. VERIFY = standard SAP, but no recording touched it. PREDICTED = written from standard SAP for steps 8-10, which no recording reaches at all -- put SAP on the screen in question and run modProbe.ProbeCurrentScreen to find out which of these hold, then correct them here. BLOCKED = genuinely unknown, and the run stops short of that stage and says so.</t>
        </is>
      </c>
    </row>
    <row r="5">
      <c r="A5" s="17" t="n"/>
      <c r="B5" s="17" t="inlineStr">
        <is>
          <t>Key</t>
        </is>
      </c>
      <c r="C5" s="17" t="inlineStr">
        <is>
          <t>What it is</t>
        </is>
      </c>
      <c r="D5" s="17" t="inlineStr">
        <is>
          <t>Source</t>
        </is>
      </c>
      <c r="E5" s="17" t="inlineStr">
        <is>
          <t>Required</t>
        </is>
      </c>
      <c r="F5" s="17" t="inlineStr">
        <is>
          <t>Element ID (the macro reads this)</t>
        </is>
      </c>
    </row>
    <row r="6">
      <c r="B6" s="18" t="inlineStr">
        <is>
          <t>Step 1: FEBAN selection (a MODAL popup on this system, wnd[1])</t>
        </is>
      </c>
      <c r="C6" s="19" t="n"/>
      <c r="D6" s="19" t="n"/>
      <c r="E6" s="19" t="n"/>
      <c r="F6" s="19" t="n"/>
    </row>
    <row r="7">
      <c r="B7" s="20" t="inlineStr">
        <is>
          <t>FEBAN.SelectionWindow</t>
        </is>
      </c>
      <c r="C7" s="12" t="inlineStr">
        <is>
          <t>Window the selection fields sit in. wnd[1] here, because FEBAN opens its selection as a popup rather than a full screen</t>
        </is>
      </c>
      <c r="D7" s="21" t="inlineStr">
        <is>
          <t>recorded</t>
        </is>
      </c>
      <c r="E7" s="22" t="inlineStr">
        <is>
          <t>Yes</t>
        </is>
      </c>
      <c r="F7" s="23" t="inlineStr">
        <is>
          <t>wnd[1]</t>
        </is>
      </c>
    </row>
    <row r="8">
      <c r="B8" s="20" t="inlineStr">
        <is>
          <t>FEBAN.CompanyCode</t>
        </is>
      </c>
      <c r="C8" s="12" t="inlineStr">
        <is>
          <t>Company code</t>
        </is>
      </c>
      <c r="D8" s="21" t="inlineStr">
        <is>
          <t>recorded</t>
        </is>
      </c>
      <c r="E8" s="22" t="inlineStr">
        <is>
          <t>Yes</t>
        </is>
      </c>
      <c r="F8" s="23" t="inlineStr">
        <is>
          <t>wnd[1]/usr/ctxtSL_BUKRS-LOW</t>
        </is>
      </c>
    </row>
    <row r="9">
      <c r="B9" s="20" t="inlineStr">
        <is>
          <t>FEBAN.StatementDateFrom</t>
        </is>
      </c>
      <c r="C9" s="12" t="inlineStr">
        <is>
          <t>Statement date, low</t>
        </is>
      </c>
      <c r="D9" s="21" t="inlineStr">
        <is>
          <t>recorded</t>
        </is>
      </c>
      <c r="E9" s="22" t="inlineStr">
        <is>
          <t>Yes</t>
        </is>
      </c>
      <c r="F9" s="23" t="inlineStr">
        <is>
          <t>wnd[1]/usr/ctxtSL_AZDAT-LOW</t>
        </is>
      </c>
    </row>
    <row r="10">
      <c r="B10" s="20" t="inlineStr">
        <is>
          <t>FEBAN.StatementDateTo</t>
        </is>
      </c>
      <c r="C10" s="12" t="inlineStr">
        <is>
          <t>Statement date, high</t>
        </is>
      </c>
      <c r="D10" s="21" t="inlineStr">
        <is>
          <t>recorded</t>
        </is>
      </c>
      <c r="E10" s="22" t="inlineStr">
        <is>
          <t>Yes</t>
        </is>
      </c>
      <c r="F10" s="23" t="inlineStr">
        <is>
          <t>wnd[1]/usr/ctxtSL_AZDAT-HIGH</t>
        </is>
      </c>
    </row>
    <row r="11">
      <c r="B11" s="20" t="inlineStr">
        <is>
          <t>FEBAN.ExecuteButton</t>
        </is>
      </c>
      <c r="C11" s="12" t="inlineStr">
        <is>
          <t>Execute, on the popup's own toolbar</t>
        </is>
      </c>
      <c r="D11" s="21" t="inlineStr">
        <is>
          <t>recorded</t>
        </is>
      </c>
      <c r="E11" s="22" t="inlineStr">
        <is>
          <t>Yes</t>
        </is>
      </c>
      <c r="F11" s="23" t="inlineStr">
        <is>
          <t>wnd[1]/tbar[0]/btn[8]</t>
        </is>
      </c>
    </row>
    <row r="12">
      <c r="B12" s="20" t="inlineStr">
        <is>
          <t>FEBAN.PostExecuteButton</t>
        </is>
      </c>
      <c r="C12" s="12" t="inlineStr">
        <is>
          <t>Toolbar button pressed straight after Execute in all four recordings. Clear it to skip</t>
        </is>
      </c>
      <c r="D12" s="21" t="inlineStr">
        <is>
          <t>recorded</t>
        </is>
      </c>
      <c r="E12" s="22" t="inlineStr">
        <is>
          <t>No</t>
        </is>
      </c>
      <c r="F12" s="23" t="inlineStr">
        <is>
          <t>wnd[0]/tbar[1]/btn[14]</t>
        </is>
      </c>
    </row>
    <row r="13">
      <c r="B13" s="20" t="inlineStr">
        <is>
          <t>FEBAN.HouseBank</t>
        </is>
      </c>
      <c r="C13" s="12" t="inlineStr">
        <is>
          <t>House bank filter. Not recorded; worth setting if the EUR account is out of scope. VERIFY</t>
        </is>
      </c>
      <c r="D13" s="24" t="inlineStr">
        <is>
          <t>VERIFY</t>
        </is>
      </c>
      <c r="E13" s="22" t="inlineStr">
        <is>
          <t>No</t>
        </is>
      </c>
      <c r="F13" s="23" t="inlineStr">
        <is>
          <t>wnd[1]/usr/ctxtSL_HBKID-LOW</t>
        </is>
      </c>
    </row>
    <row r="14">
      <c r="B14" s="20" t="inlineStr">
        <is>
          <t>FEBAN.AccountId</t>
        </is>
      </c>
      <c r="C14" s="12" t="inlineStr">
        <is>
          <t>Account ID filter. VERIFY</t>
        </is>
      </c>
      <c r="D14" s="24" t="inlineStr">
        <is>
          <t>VERIFY</t>
        </is>
      </c>
      <c r="E14" s="22" t="inlineStr">
        <is>
          <t>No</t>
        </is>
      </c>
      <c r="F14" s="23" t="inlineStr">
        <is>
          <t>wnd[1]/usr/ctxtSL_HKTID-LOW</t>
        </is>
      </c>
    </row>
    <row r="15">
      <c r="B15" s="18" t="inlineStr">
        <is>
          <t>Step 2: FEBAN result list</t>
        </is>
      </c>
      <c r="C15" s="19" t="n"/>
      <c r="D15" s="19" t="n"/>
      <c r="E15" s="19" t="n"/>
      <c r="F15" s="19" t="n"/>
    </row>
    <row r="16">
      <c r="B16" s="20" t="inlineStr">
        <is>
          <t>FEBAN.ResultGrid</t>
        </is>
      </c>
      <c r="C16" s="12" t="inlineStr">
        <is>
          <t>ALV grid of statement items</t>
        </is>
      </c>
      <c r="D16" s="21" t="inlineStr">
        <is>
          <t>recorded</t>
        </is>
      </c>
      <c r="E16" s="22" t="inlineStr">
        <is>
          <t>Yes</t>
        </is>
      </c>
      <c r="F16" s="23" t="inlineStr">
        <is>
          <t>wnd[0]/shellcont/shell</t>
        </is>
      </c>
    </row>
    <row r="17">
      <c r="B17" s="20" t="inlineStr">
        <is>
          <t>FEBAN.Col.Amount</t>
        </is>
      </c>
      <c r="C17" s="12" t="inlineStr">
        <is>
          <t>Amount column</t>
        </is>
      </c>
      <c r="D17" s="21" t="inlineStr">
        <is>
          <t>recorded</t>
        </is>
      </c>
      <c r="E17" s="22" t="inlineStr">
        <is>
          <t>Yes</t>
        </is>
      </c>
      <c r="F17" s="23" t="inlineStr">
        <is>
          <t>KWBTR</t>
        </is>
      </c>
    </row>
    <row r="18">
      <c r="B18" s="20" t="inlineStr">
        <is>
          <t>FEBAN.Col.ValueDate</t>
        </is>
      </c>
      <c r="C18" s="12" t="inlineStr">
        <is>
          <t>Statement date column. Audit2.vbs double-clicked this by name, so it is a captured value</t>
        </is>
      </c>
      <c r="D18" s="21" t="inlineStr">
        <is>
          <t>recorded</t>
        </is>
      </c>
      <c r="E18" s="22" t="inlineStr">
        <is>
          <t>Yes</t>
        </is>
      </c>
      <c r="F18" s="23" t="inlineStr">
        <is>
          <t>AZDAT</t>
        </is>
      </c>
    </row>
    <row r="19">
      <c r="B19" s="20" t="inlineStr">
        <is>
          <t>FEBAN.Col.Status</t>
        </is>
      </c>
      <c r="C19" s="12" t="inlineStr">
        <is>
          <t>Update-status column. The grid dump on PP2 shows no ESTAT -- VB1OK 'Update 1 OK' and VB2OK '2nd update OK' are what this release carries</t>
        </is>
      </c>
      <c r="D19" s="21" t="inlineStr">
        <is>
          <t>recorded</t>
        </is>
      </c>
      <c r="E19" s="22" t="inlineStr">
        <is>
          <t>No</t>
        </is>
      </c>
      <c r="F19" s="23" t="inlineStr">
        <is>
          <t>VB1OK</t>
        </is>
      </c>
    </row>
    <row r="20">
      <c r="B20" s="20" t="inlineStr">
        <is>
          <t>FEBAN.Col.DocNumber</t>
        </is>
      </c>
      <c r="C20" s="12" t="inlineStr">
        <is>
          <t>FI document column. VERIFY</t>
        </is>
      </c>
      <c r="D20" s="24" t="inlineStr">
        <is>
          <t>VERIFY</t>
        </is>
      </c>
      <c r="E20" s="22" t="inlineStr">
        <is>
          <t>No</t>
        </is>
      </c>
      <c r="F20" s="23" t="inlineStr">
        <is>
          <t>BELNR</t>
        </is>
      </c>
    </row>
    <row r="21">
      <c r="B21" s="20" t="inlineStr">
        <is>
          <t>FEBAN.Col.Reference</t>
        </is>
      </c>
      <c r="C21" s="12" t="inlineStr">
        <is>
          <t>Note-to-payee, logged beside each match as context. The grid dump shows no SGTXT; VWEZW is 'Payment Notes' and VGREF is 'Bank reference'</t>
        </is>
      </c>
      <c r="D21" s="21" t="inlineStr">
        <is>
          <t>recorded</t>
        </is>
      </c>
      <c r="E21" s="22" t="inlineStr">
        <is>
          <t>No</t>
        </is>
      </c>
      <c r="F21" s="23" t="inlineStr">
        <is>
          <t>VWEZW</t>
        </is>
      </c>
    </row>
    <row r="22">
      <c r="B22" s="18" t="inlineStr">
        <is>
          <t>ALV export (confirmed in Audit2.vbs)</t>
        </is>
      </c>
      <c r="C22" s="19" t="n"/>
      <c r="D22" s="19" t="n"/>
      <c r="E22" s="19" t="n"/>
      <c r="F22" s="19" t="n"/>
    </row>
    <row r="23">
      <c r="B23" s="20" t="inlineStr">
        <is>
          <t>Export.AlvToolbarButton</t>
        </is>
      </c>
      <c r="C23" s="12" t="inlineStr">
        <is>
          <t>Grid toolbar export function code</t>
        </is>
      </c>
      <c r="D23" s="21" t="inlineStr">
        <is>
          <t>recorded</t>
        </is>
      </c>
      <c r="E23" s="22" t="inlineStr">
        <is>
          <t>No</t>
        </is>
      </c>
      <c r="F23" s="23" t="inlineStr">
        <is>
          <t>&amp;MB_EXPORT</t>
        </is>
      </c>
    </row>
    <row r="24">
      <c r="B24" s="20" t="inlineStr">
        <is>
          <t>Export.AlvMenuItem</t>
        </is>
      </c>
      <c r="C24" s="12" t="inlineStr">
        <is>
          <t>Context-menu entry. &amp;XXL, not &amp;PC</t>
        </is>
      </c>
      <c r="D24" s="21" t="inlineStr">
        <is>
          <t>recorded</t>
        </is>
      </c>
      <c r="E24" s="22" t="inlineStr">
        <is>
          <t>No</t>
        </is>
      </c>
      <c r="F24" s="23" t="inlineStr">
        <is>
          <t>&amp;XXL</t>
        </is>
      </c>
    </row>
    <row r="25">
      <c r="B25" s="20" t="inlineStr">
        <is>
          <t>Export.AlvFormatRadio</t>
        </is>
      </c>
      <c r="C25" s="12" t="inlineStr">
        <is>
          <t>Radio for the format, if that popup appears. VERIFY</t>
        </is>
      </c>
      <c r="D25" s="24" t="inlineStr">
        <is>
          <t>VERIFY</t>
        </is>
      </c>
      <c r="E25" s="22" t="inlineStr">
        <is>
          <t>No</t>
        </is>
      </c>
      <c r="F25" s="23" t="n"/>
    </row>
    <row r="26">
      <c r="B26" s="18" t="inlineStr">
        <is>
          <t>Step 3: statement item detail</t>
        </is>
      </c>
      <c r="C26" s="19" t="n"/>
      <c r="D26" s="19" t="n"/>
      <c r="E26" s="19" t="n"/>
      <c r="F26" s="19" t="n"/>
    </row>
    <row r="27" ht="30" customHeight="1">
      <c r="B27" s="20" t="inlineStr">
        <is>
          <t>Feban.Detail.DocNumber</t>
        </is>
      </c>
      <c r="C27" s="12" t="inlineStr">
        <is>
          <t>Posting Area 1 Doc. number field. F2 from here opens the FI document</t>
        </is>
      </c>
      <c r="D27" s="21" t="inlineStr">
        <is>
          <t>recorded</t>
        </is>
      </c>
      <c r="E27" s="22" t="inlineStr">
        <is>
          <t>Yes</t>
        </is>
      </c>
      <c r="F27" s="23" t="inlineStr">
        <is>
          <t>wnd[0]/usr/subSUB_MAIN:SAPLNEW_FEBA:4000/subSUB_APPLICATION:SAPLNEW_FEBA:2200/subAREA1:SAPLNEW_FEBA:2201/txtD2201_BELNR</t>
        </is>
      </c>
    </row>
    <row r="28">
      <c r="B28" s="18" t="inlineStr">
        <is>
          <t>Step 4: FI document line items</t>
        </is>
      </c>
      <c r="C28" s="19" t="n"/>
      <c r="D28" s="19" t="n"/>
      <c r="E28" s="19" t="n"/>
      <c r="F28" s="19" t="n"/>
    </row>
    <row r="29">
      <c r="B29" s="20" t="inlineStr">
        <is>
          <t>Doc.BsegGrid</t>
        </is>
      </c>
      <c r="C29" s="12" t="inlineStr">
        <is>
          <t>Line-item grid on the document overview</t>
        </is>
      </c>
      <c r="D29" s="21" t="inlineStr">
        <is>
          <t>recorded</t>
        </is>
      </c>
      <c r="E29" s="22" t="inlineStr">
        <is>
          <t>Yes</t>
        </is>
      </c>
      <c r="F29" s="23" t="inlineStr">
        <is>
          <t>wnd[0]/usr/cntlCTRL_CONTAINERBSEG/shellcont/shell</t>
        </is>
      </c>
    </row>
    <row r="30">
      <c r="B30" s="20" t="inlineStr">
        <is>
          <t>Doc.Col.ClearingDoc</t>
        </is>
      </c>
      <c r="C30" s="12" t="inlineStr">
        <is>
          <t>Clearing-document column. Audit3 and Audit5 both double-clicked AUGBL; Audit.vbs used DMBTR and Audit2 PRCTR, which were just where the cursor sat</t>
        </is>
      </c>
      <c r="D30" s="21" t="inlineStr">
        <is>
          <t>recorded</t>
        </is>
      </c>
      <c r="E30" s="22" t="inlineStr">
        <is>
          <t>Yes</t>
        </is>
      </c>
      <c r="F30" s="23" t="inlineStr">
        <is>
          <t>AUGBL</t>
        </is>
      </c>
    </row>
    <row r="31">
      <c r="B31" s="20" t="inlineStr">
        <is>
          <t>Doc.Col.PostingKey</t>
        </is>
      </c>
      <c r="C31" s="12" t="inlineStr">
        <is>
          <t>Posting-key column, so the macro can pick the key-40 line rather than whichever row the cursor lands on. VERIFY</t>
        </is>
      </c>
      <c r="D31" s="24" t="inlineStr">
        <is>
          <t>VERIFY</t>
        </is>
      </c>
      <c r="E31" s="22" t="inlineStr">
        <is>
          <t>No</t>
        </is>
      </c>
      <c r="F31" s="23" t="inlineStr">
        <is>
          <t>BSCHL</t>
        </is>
      </c>
    </row>
    <row r="32">
      <c r="B32" s="18" t="inlineStr">
        <is>
          <t>Step 5: line-item detail</t>
        </is>
      </c>
      <c r="C32" s="19" t="n"/>
      <c r="D32" s="19" t="n"/>
      <c r="E32" s="19" t="n"/>
      <c r="F32" s="19" t="n"/>
    </row>
    <row r="33">
      <c r="B33" s="20" t="inlineStr">
        <is>
          <t>Doc.ClearingDocField</t>
        </is>
      </c>
      <c r="C33" s="12" t="inlineStr">
        <is>
          <t>Clearing-document field. F2 from here opens the clearing document</t>
        </is>
      </c>
      <c r="D33" s="21" t="inlineStr">
        <is>
          <t>recorded</t>
        </is>
      </c>
      <c r="E33" s="22" t="inlineStr">
        <is>
          <t>Yes</t>
        </is>
      </c>
      <c r="F33" s="23" t="inlineStr">
        <is>
          <t>wnd[0]/usr/txtBSEG-AUGBL</t>
        </is>
      </c>
    </row>
    <row r="34">
      <c r="B34" s="20" t="inlineStr">
        <is>
          <t>Doc.OverviewButton</t>
        </is>
      </c>
      <c r="C34" s="12" t="inlineStr">
        <is>
          <t>Document-overview button. F2 on the FBL1N list lands on the LINE ITEM, and Environment &gt; Payment usage lives on the document -- this is the hop between them, pressed in N1.vbs. Only used when the usage menu is missing, so clearing it just skips the attempt</t>
        </is>
      </c>
      <c r="D34" s="21" t="inlineStr">
        <is>
          <t>recorded</t>
        </is>
      </c>
      <c r="E34" s="22" t="inlineStr">
        <is>
          <t>No</t>
        </is>
      </c>
      <c r="F34" s="23" t="inlineStr">
        <is>
          <t>wnd[0]/tbar[1]/btn[9]</t>
        </is>
      </c>
    </row>
    <row r="35">
      <c r="B35" s="18" t="inlineStr">
        <is>
          <t>Step 6: Environment &gt; Payment Usage</t>
        </is>
      </c>
      <c r="C35" s="19" t="n"/>
      <c r="D35" s="19" t="n"/>
      <c r="E35" s="19" t="n"/>
      <c r="F35" s="19" t="n"/>
    </row>
    <row r="36">
      <c r="B36" s="20" t="inlineStr">
        <is>
          <t>PaymentUsage.Menu</t>
        </is>
      </c>
      <c r="C36" s="12" t="inlineStr">
        <is>
          <t>Menu path to the batch's payment documents. Confirmed in all four recordings</t>
        </is>
      </c>
      <c r="D36" s="21" t="inlineStr">
        <is>
          <t>recorded</t>
        </is>
      </c>
      <c r="E36" s="22" t="inlineStr">
        <is>
          <t>Yes</t>
        </is>
      </c>
      <c r="F36" s="23" t="inlineStr">
        <is>
          <t>wnd[0]/mbar/menu[5]/menu[3]</t>
        </is>
      </c>
    </row>
    <row r="37">
      <c r="B37" s="20" t="inlineStr">
        <is>
          <t>PaymentUsage.ListAnchor</t>
        </is>
      </c>
      <c r="C37" s="12" t="inlineStr">
        <is>
          <t>An element that exists on that list, used only to confirm the menu landed. Clear it to skip the check</t>
        </is>
      </c>
      <c r="D37" s="21" t="inlineStr">
        <is>
          <t>recorded</t>
        </is>
      </c>
      <c r="E37" s="22" t="inlineStr">
        <is>
          <t>No</t>
        </is>
      </c>
      <c r="F37" s="23" t="inlineStr">
        <is>
          <t>wnd[0]/usr/chk[1,6]</t>
        </is>
      </c>
    </row>
    <row r="38">
      <c r="B38" s="18" t="inlineStr">
        <is>
          <t>Step 7: classic list export (List &gt; Save/Send &gt; File)</t>
        </is>
      </c>
      <c r="C38" s="19" t="n"/>
      <c r="D38" s="19" t="n"/>
      <c r="E38" s="19" t="n"/>
      <c r="F38" s="19" t="n"/>
    </row>
    <row r="39">
      <c r="B39" s="20" t="inlineStr">
        <is>
          <t>Export.ListMenu</t>
        </is>
      </c>
      <c r="C39" s="12" t="inlineStr">
        <is>
          <t>Menu path that opens the save-list dialog</t>
        </is>
      </c>
      <c r="D39" s="21" t="inlineStr">
        <is>
          <t>recorded</t>
        </is>
      </c>
      <c r="E39" s="22" t="inlineStr">
        <is>
          <t>Yes</t>
        </is>
      </c>
      <c r="F39" s="23" t="inlineStr">
        <is>
          <t>wnd[0]/mbar/menu[0]/menu[3]/menu[1]</t>
        </is>
      </c>
    </row>
    <row r="40">
      <c r="B40" s="20" t="inlineStr">
        <is>
          <t>Export.FormatOkButton</t>
        </is>
      </c>
      <c r="C40" s="12" t="inlineStr">
        <is>
          <t>Confirm the file-format popup</t>
        </is>
      </c>
      <c r="D40" s="21" t="inlineStr">
        <is>
          <t>recorded</t>
        </is>
      </c>
      <c r="E40" s="22" t="inlineStr">
        <is>
          <t>Yes</t>
        </is>
      </c>
      <c r="F40" s="23" t="inlineStr">
        <is>
          <t>wnd[1]/tbar[0]/btn[0]</t>
        </is>
      </c>
    </row>
    <row r="41">
      <c r="B41" s="20" t="inlineStr">
        <is>
          <t>Save.Path</t>
        </is>
      </c>
      <c r="C41" s="12" t="inlineStr">
        <is>
          <t>Directory field</t>
        </is>
      </c>
      <c r="D41" s="21" t="inlineStr">
        <is>
          <t>recorded</t>
        </is>
      </c>
      <c r="E41" s="22" t="inlineStr">
        <is>
          <t>Yes</t>
        </is>
      </c>
      <c r="F41" s="23" t="inlineStr">
        <is>
          <t>wnd[1]/usr/ctxtDY_PATH</t>
        </is>
      </c>
    </row>
    <row r="42">
      <c r="B42" s="20" t="inlineStr">
        <is>
          <t>Save.FileName</t>
        </is>
      </c>
      <c r="C42" s="12" t="inlineStr">
        <is>
          <t>File name field. Confirmed in Audit2.vbs and Audit5.vbs</t>
        </is>
      </c>
      <c r="D42" s="21" t="inlineStr">
        <is>
          <t>recorded</t>
        </is>
      </c>
      <c r="E42" s="22" t="inlineStr">
        <is>
          <t>Yes</t>
        </is>
      </c>
      <c r="F42" s="23" t="inlineStr">
        <is>
          <t>wnd[1]/usr/ctxtDY_FILENAME</t>
        </is>
      </c>
    </row>
    <row r="43">
      <c r="B43" s="20" t="inlineStr">
        <is>
          <t>Save.Encoding</t>
        </is>
      </c>
      <c r="C43" s="12" t="inlineStr">
        <is>
          <t>Encoding field, where present. VERIFY</t>
        </is>
      </c>
      <c r="D43" s="24" t="inlineStr">
        <is>
          <t>VERIFY</t>
        </is>
      </c>
      <c r="E43" s="22" t="inlineStr">
        <is>
          <t>No</t>
        </is>
      </c>
      <c r="F43" s="23" t="inlineStr">
        <is>
          <t>wnd[1]/usr/ctxtDY_FILE_ENCODING</t>
        </is>
      </c>
    </row>
    <row r="44">
      <c r="B44" s="20" t="inlineStr">
        <is>
          <t>Save.GenerateButton</t>
        </is>
      </c>
      <c r="C44" s="12" t="inlineStr">
        <is>
          <t>Confirm the save. btn[0], not btn[11]</t>
        </is>
      </c>
      <c r="D44" s="21" t="inlineStr">
        <is>
          <t>recorded</t>
        </is>
      </c>
      <c r="E44" s="22" t="inlineStr">
        <is>
          <t>Yes</t>
        </is>
      </c>
      <c r="F44" s="23" t="inlineStr">
        <is>
          <t>wnd[1]/tbar[0]/btn[0]</t>
        </is>
      </c>
    </row>
    <row r="45">
      <c r="B45" s="18" t="inlineStr">
        <is>
          <t>Steps 8-9: FBL1N, the ZP payments of the batch</t>
        </is>
      </c>
      <c r="C45" s="19" t="n"/>
      <c r="D45" s="19" t="n"/>
      <c r="E45" s="19" t="n"/>
      <c r="F45" s="19" t="n"/>
    </row>
    <row r="46">
      <c r="B46" s="20" t="inlineStr">
        <is>
          <t>Fbl1n.AllItemsRadio</t>
        </is>
      </c>
      <c r="C46" s="12" t="inlineStr">
        <is>
          <t>'All items' radio</t>
        </is>
      </c>
      <c r="D46" s="21" t="inlineStr">
        <is>
          <t>recorded</t>
        </is>
      </c>
      <c r="E46" s="22" t="inlineStr">
        <is>
          <t>No</t>
        </is>
      </c>
      <c r="F46" s="23" t="inlineStr">
        <is>
          <t>wnd[0]/usr/radX_AISEL</t>
        </is>
      </c>
    </row>
    <row r="47">
      <c r="B47" s="20" t="inlineStr">
        <is>
          <t>Fbl1n.CompanyCode</t>
        </is>
      </c>
      <c r="C47" s="12" t="inlineStr">
        <is>
          <t>Company code. KD_BUKRS, not the DD_BUKRS that was predicted</t>
        </is>
      </c>
      <c r="D47" s="21" t="inlineStr">
        <is>
          <t>recorded</t>
        </is>
      </c>
      <c r="E47" s="22" t="inlineStr">
        <is>
          <t>No</t>
        </is>
      </c>
      <c r="F47" s="23" t="inlineStr">
        <is>
          <t>wnd[0]/usr/ctxtKD_BUKRS-LOW</t>
        </is>
      </c>
    </row>
    <row r="48">
      <c r="B48" s="20" t="inlineStr">
        <is>
          <t>Fbl1n.PostingDateFrom</t>
        </is>
      </c>
      <c r="C48" s="12" t="inlineStr">
        <is>
          <t>Posting date, low</t>
        </is>
      </c>
      <c r="D48" s="21" t="inlineStr">
        <is>
          <t>recorded</t>
        </is>
      </c>
      <c r="E48" s="22" t="inlineStr">
        <is>
          <t>No</t>
        </is>
      </c>
      <c r="F48" s="23" t="inlineStr">
        <is>
          <t>wnd[0]/usr/ctxtSO_BUDAT-LOW</t>
        </is>
      </c>
    </row>
    <row r="49">
      <c r="B49" s="20" t="inlineStr">
        <is>
          <t>Fbl1n.PostingDateTo</t>
        </is>
      </c>
      <c r="C49" s="12" t="inlineStr">
        <is>
          <t>Posting date, high</t>
        </is>
      </c>
      <c r="D49" s="21" t="inlineStr">
        <is>
          <t>recorded</t>
        </is>
      </c>
      <c r="E49" s="22" t="inlineStr">
        <is>
          <t>No</t>
        </is>
      </c>
      <c r="F49" s="23" t="inlineStr">
        <is>
          <t>wnd[0]/usr/ctxtSO_BUDAT-HIGH</t>
        </is>
      </c>
    </row>
    <row r="50">
      <c r="B50" s="20" t="inlineStr">
        <is>
          <t>Fbl1n.DynamicSelections</t>
        </is>
      </c>
      <c r="C50" s="12" t="inlineStr">
        <is>
          <t>Opens the dynamic-selections block. The document number is NOT on the main selection screen -- it lives in dynamic selections, so this has to be pressed before the field below exists</t>
        </is>
      </c>
      <c r="D50" s="21" t="inlineStr">
        <is>
          <t>recorded</t>
        </is>
      </c>
      <c r="E50" s="22" t="inlineStr">
        <is>
          <t>No</t>
        </is>
      </c>
      <c r="F50" s="23" t="inlineStr">
        <is>
          <t>wnd[0]/tbar[1]/btn[16]</t>
        </is>
      </c>
    </row>
    <row r="51" ht="30" customHeight="1">
      <c r="B51" s="20" t="inlineStr">
        <is>
          <t>Fbl1n.DocNumberField</t>
        </is>
      </c>
      <c r="C51" s="12" t="inlineStr">
        <is>
          <t>The document-number field itself, inside dynamic selections. Used when the batch holds a single document, so the multiple-selection dialog is not needed</t>
        </is>
      </c>
      <c r="D51" s="21" t="inlineStr">
        <is>
          <t>recorded</t>
        </is>
      </c>
      <c r="E51" s="22" t="inlineStr">
        <is>
          <t>No</t>
        </is>
      </c>
      <c r="F51" s="23" t="inlineStr">
        <is>
          <t>wnd[0]/usr/ssub%_SUBSCREEN_%_SUB%_CONTAINER:SAPLSSEL:2001/ssubSUBSCREEN_CONTAINER2:SAPLSSEL:2000/ssubSUBSCREEN_CONTAINER:SAPLSSEL:1106/txt%%DYN011-LOW</t>
        </is>
      </c>
    </row>
    <row r="52" ht="30" customHeight="1">
      <c r="B52" s="20" t="inlineStr">
        <is>
          <t>Fbl1n.DocNumberMultiSelect</t>
        </is>
      </c>
      <c r="C52" s="12" t="inlineStr">
        <is>
          <t>Multiple-selection arrow for document number, inside the dynamic-selections subscreen</t>
        </is>
      </c>
      <c r="D52" s="21" t="inlineStr">
        <is>
          <t>recorded</t>
        </is>
      </c>
      <c r="E52" s="22" t="inlineStr">
        <is>
          <t>No</t>
        </is>
      </c>
      <c r="F52" s="23" t="inlineStr">
        <is>
          <t>wnd[0]/usr/ssub%_SUBSCREEN_%_SUB%_CONTAINER:SAPLSSEL:2001/ssubSUBSCREEN_CONTAINER2:SAPLSSEL:2000/ssubSUBSCREEN_CONTAINER:SAPLSSEL:1106/btn%_%%DYN011_%_APP_%-VALU_PUSH</t>
        </is>
      </c>
    </row>
    <row r="53">
      <c r="B53" s="20" t="inlineStr">
        <is>
          <t>MultiSel.PasteFromClipboard</t>
        </is>
      </c>
      <c r="C53" s="12" t="inlineStr">
        <is>
          <t>'Upload from clipboard' on the multiple-selection dialog</t>
        </is>
      </c>
      <c r="D53" s="21" t="inlineStr">
        <is>
          <t>recorded</t>
        </is>
      </c>
      <c r="E53" s="22" t="inlineStr">
        <is>
          <t>No</t>
        </is>
      </c>
      <c r="F53" s="23" t="inlineStr">
        <is>
          <t>wnd[1]/tbar[0]/btn[24]</t>
        </is>
      </c>
    </row>
    <row r="54">
      <c r="B54" s="20" t="inlineStr">
        <is>
          <t>MultiSel.Confirm</t>
        </is>
      </c>
      <c r="C54" s="12" t="inlineStr">
        <is>
          <t>Copy on that dialog</t>
        </is>
      </c>
      <c r="D54" s="21" t="inlineStr">
        <is>
          <t>recorded</t>
        </is>
      </c>
      <c r="E54" s="22" t="inlineStr">
        <is>
          <t>No</t>
        </is>
      </c>
      <c r="F54" s="23" t="inlineStr">
        <is>
          <t>wnd[1]/tbar[0]/btn[8]</t>
        </is>
      </c>
    </row>
    <row r="55">
      <c r="B55" s="20" t="inlineStr">
        <is>
          <t>Fbl1n.ExecuteButton</t>
        </is>
      </c>
      <c r="C55" s="12" t="inlineStr">
        <is>
          <t>Execute</t>
        </is>
      </c>
      <c r="D55" s="21" t="inlineStr">
        <is>
          <t>recorded</t>
        </is>
      </c>
      <c r="E55" s="22" t="inlineStr">
        <is>
          <t>No</t>
        </is>
      </c>
      <c r="F55" s="23" t="inlineStr">
        <is>
          <t>wnd[0]/tbar[1]/btn[8]</t>
        </is>
      </c>
    </row>
    <row r="56">
      <c r="B56" s="20" t="inlineStr">
        <is>
          <t>Fbl1n.ResultAnchor</t>
        </is>
      </c>
      <c r="C56" s="12" t="inlineStr">
        <is>
          <t>Confirms the FBL1N result came up. NOTE: FBL1N renders as a CLASSIC LIST here (lbl[x,y]), not an ALV grid, so there is no grid to read -- the list is exported and read back instead. VERIFY</t>
        </is>
      </c>
      <c r="D56" s="24" t="inlineStr">
        <is>
          <t>VERIFY</t>
        </is>
      </c>
      <c r="E56" s="22" t="inlineStr">
        <is>
          <t>No</t>
        </is>
      </c>
      <c r="F56" s="23" t="inlineStr">
        <is>
          <t>wnd[0]/usr/lbl[164,8]</t>
        </is>
      </c>
    </row>
    <row r="57">
      <c r="B57" s="18" t="inlineStr">
        <is>
          <t>FB03: fallback only, not the normal path</t>
        </is>
      </c>
      <c r="C57" s="19" t="n"/>
      <c r="D57" s="19" t="n"/>
      <c r="E57" s="19" t="n"/>
      <c r="F57" s="19" t="n"/>
    </row>
    <row r="58">
      <c r="B58" s="20" t="inlineStr">
        <is>
          <t>FB03.DocNumber</t>
        </is>
      </c>
      <c r="C58" s="12" t="inlineStr">
        <is>
          <t>The largest payment is normally opened from the FBL1N list itself, by finding the label whose text is its document number -- the same F2 drill the recordings use, aimed by content instead of by screen position. FB03 is only used if that number is not on screen, e.g. a long list that has scrolled. Leave these blank to disable the fallback entirely. VERIFY</t>
        </is>
      </c>
      <c r="D58" s="24" t="inlineStr">
        <is>
          <t>VERIFY</t>
        </is>
      </c>
      <c r="E58" s="22" t="inlineStr">
        <is>
          <t>No</t>
        </is>
      </c>
      <c r="F58" s="23" t="inlineStr">
        <is>
          <t>wnd[0]/usr/txtRF05L-BELNR</t>
        </is>
      </c>
    </row>
    <row r="59">
      <c r="B59" s="20" t="inlineStr">
        <is>
          <t>FB03.CompanyCode</t>
        </is>
      </c>
      <c r="C59" s="12" t="inlineStr">
        <is>
          <t>Company code field on that screen. VERIFY</t>
        </is>
      </c>
      <c r="D59" s="24" t="inlineStr">
        <is>
          <t>VERIFY</t>
        </is>
      </c>
      <c r="E59" s="22" t="inlineStr">
        <is>
          <t>No</t>
        </is>
      </c>
      <c r="F59" s="23" t="inlineStr">
        <is>
          <t>wnd[0]/usr/ctxtRF05L-BUKRS</t>
        </is>
      </c>
    </row>
    <row r="60">
      <c r="B60" s="20" t="inlineStr">
        <is>
          <t>FB03.FiscalYear</t>
        </is>
      </c>
      <c r="C60" s="12" t="inlineStr">
        <is>
          <t>Fiscal year field on that screen. VERIFY</t>
        </is>
      </c>
      <c r="D60" s="24" t="inlineStr">
        <is>
          <t>VERIFY</t>
        </is>
      </c>
      <c r="E60" s="22" t="inlineStr">
        <is>
          <t>No</t>
        </is>
      </c>
      <c r="F60" s="23" t="inlineStr">
        <is>
          <t>wnd[0]/usr/txtRF05L-GJAHR</t>
        </is>
      </c>
    </row>
    <row r="61">
      <c r="B61" s="18" t="inlineStr">
        <is>
          <t>Step 10: the largest payment's invoices, and the PDF</t>
        </is>
      </c>
      <c r="C61" s="19" t="n"/>
      <c r="D61" s="19" t="n"/>
      <c r="E61" s="19" t="n"/>
      <c r="F61" s="19" t="n"/>
    </row>
    <row r="62">
      <c r="B62" s="20" t="inlineStr">
        <is>
          <t>Payment.UsageMenu</t>
        </is>
      </c>
      <c r="C62" s="12" t="inlineStr">
        <is>
          <t>Environment &gt; Payment usage from inside the payment document. menu[4] here, not the menu[5] used from the clearing document -- menu indices differ per screen. VERIFY</t>
        </is>
      </c>
      <c r="D62" s="24" t="inlineStr">
        <is>
          <t>VERIFY</t>
        </is>
      </c>
      <c r="E62" s="22" t="inlineStr">
        <is>
          <t>No</t>
        </is>
      </c>
      <c r="F62" s="23" t="inlineStr">
        <is>
          <t>wnd[0]/mbar/menu[4]/menu[3]</t>
        </is>
      </c>
    </row>
    <row r="63">
      <c r="B63" s="20" t="inlineStr">
        <is>
          <t>Invoice.GosToolbox</t>
        </is>
      </c>
      <c r="C63" s="12" t="inlineStr">
        <is>
          <t>Services-for-object toolbox. The container index is NOT stable -- N1.vbs found it at shellcont[2] and B2.vbs at shellcont[1] on the same system, because it depends on what else the title bar carries. The macro tries this value first and then probes the neighbours, so it is a hint, not a hard ID</t>
        </is>
      </c>
      <c r="D63" s="21" t="inlineStr">
        <is>
          <t>recorded</t>
        </is>
      </c>
      <c r="E63" s="22" t="inlineStr">
        <is>
          <t>No</t>
        </is>
      </c>
      <c r="F63" s="23" t="inlineStr">
        <is>
          <t>wnd[0]/titl/shellcont[1]/shell</t>
        </is>
      </c>
    </row>
    <row r="64">
      <c r="B64" s="20" t="inlineStr">
        <is>
          <t>Invoice.AttachListGrid</t>
        </is>
      </c>
      <c r="C64" s="12" t="inlineStr">
        <is>
          <t>Attachment-list grid. CONTAINER_0100</t>
        </is>
      </c>
      <c r="D64" s="21" t="inlineStr">
        <is>
          <t>recorded</t>
        </is>
      </c>
      <c r="E64" s="22" t="inlineStr">
        <is>
          <t>No</t>
        </is>
      </c>
      <c r="F64" s="23" t="inlineStr">
        <is>
          <t>wnd[1]/usr/cntlCONTAINER_0100/shellcont/shell</t>
        </is>
      </c>
    </row>
    <row r="65">
      <c r="B65" s="20" t="inlineStr">
        <is>
          <t>Invoice.AttachListColumn</t>
        </is>
      </c>
      <c r="C65" s="12" t="inlineStr">
        <is>
          <t>Column used to select the attachment row</t>
        </is>
      </c>
      <c r="D65" s="21" t="inlineStr">
        <is>
          <t>recorded</t>
        </is>
      </c>
      <c r="E65" s="22" t="inlineStr">
        <is>
          <t>No</t>
        </is>
      </c>
      <c r="F65" s="23" t="inlineStr">
        <is>
          <t>BITM_DESCR</t>
        </is>
      </c>
    </row>
    <row r="66">
      <c r="B66" s="20" t="inlineStr">
        <is>
          <t>Invoice.ExportMenuItem</t>
        </is>
      </c>
      <c r="C66" s="12" t="inlineStr">
        <is>
          <t>Context-menu entry that saves the attachment. A CONTEXT MENU item, not the toolbar button that was predicted</t>
        </is>
      </c>
      <c r="D66" s="21" t="inlineStr">
        <is>
          <t>recorded</t>
        </is>
      </c>
      <c r="E66" s="22" t="inlineStr">
        <is>
          <t>No</t>
        </is>
      </c>
      <c r="F66" s="23" t="inlineStr">
        <is>
          <t>%ATTA_EXPORT</t>
        </is>
      </c>
    </row>
    <row r="67">
      <c r="B67" s="20" t="inlineStr">
        <is>
          <t>Invoice.SaveWindow</t>
        </is>
      </c>
      <c r="C67" s="12" t="inlineStr">
        <is>
          <t>Window the PDF save dialog opens in. wnd[2], because the attachment list is already wnd[1]</t>
        </is>
      </c>
      <c r="D67" s="21" t="inlineStr">
        <is>
          <t>recorded</t>
        </is>
      </c>
      <c r="E67" s="22" t="inlineStr">
        <is>
          <t>No</t>
        </is>
      </c>
      <c r="F67" s="23" t="inlineStr">
        <is>
          <t>wnd[2]</t>
        </is>
      </c>
    </row>
    <row r="68">
      <c r="B68" s="20" t="inlineStr">
        <is>
          <t>Invoice.CloseAttachList</t>
        </is>
      </c>
      <c r="C68" s="12" t="inlineStr">
        <is>
          <t>Closes the attachment list afterwards</t>
        </is>
      </c>
      <c r="D68" s="21" t="inlineStr">
        <is>
          <t>recorded</t>
        </is>
      </c>
      <c r="E68" s="22" t="inlineStr">
        <is>
          <t>No</t>
        </is>
      </c>
      <c r="F68" s="23" t="inlineStr">
        <is>
          <t>wnd[1]/tbar[0]/btn[0]</t>
        </is>
      </c>
    </row>
    <row r="70" ht="30" customHeight="1">
      <c r="B70" s="16" t="inlineStr">
        <is>
          <t>The macro reads column F only. A blank 'Required = Yes' row aborts the run with a message naming the missing key, rather than guessing at an ID.</t>
        </is>
      </c>
    </row>
    <row r="71" ht="30" customHeight="1">
      <c r="B71" s="16" t="inlineStr">
        <is>
          <t>FEBAN's selection screen is a modal popup on this system (wnd[1]), not a full screen. That is why FEBAN.SelectionWindow exists -- the macro has to know which window to press Execute in.</t>
        </is>
      </c>
    </row>
    <row r="72" ht="30" customHeight="1">
      <c r="B72" s="16" t="inlineStr">
        <is>
          <t>The recording entered dates as 8 digits with no separators (01092025). The Control sheet's 'SAP date format' is set to DDMMYYYY to match. Do not change it to DMY unless you have checked that this system accepts 01.09.2025 as well.</t>
        </is>
      </c>
    </row>
  </sheetData>
  <mergeCells count="15">
    <mergeCell ref="B70:F70"/>
    <mergeCell ref="B6:F6"/>
    <mergeCell ref="B38:F38"/>
    <mergeCell ref="B15:F15"/>
    <mergeCell ref="B28:F28"/>
    <mergeCell ref="B72:F72"/>
    <mergeCell ref="B3:F3"/>
    <mergeCell ref="B45:F45"/>
    <mergeCell ref="B61:F61"/>
    <mergeCell ref="B22:F22"/>
    <mergeCell ref="B71:F71"/>
    <mergeCell ref="B32:F32"/>
    <mergeCell ref="B26:F26"/>
    <mergeCell ref="B57:F57"/>
    <mergeCell ref="B35:F35"/>
  </mergeCells>
  <pageMargins left="0.75" right="0.75" top="1" bottom="1" header="0.5" footer="0.5"/>
</worksheet>
</file>

<file path=xl/worksheets/sheet3.xml><?xml version="1.0" encoding="utf-8"?>
<worksheet xmlns="http://schemas.openxmlformats.org/spreadsheetml/2006/main">
  <sheetPr>
    <tabColor rgb="00375623"/>
    <outlinePr summaryBelow="1" summaryRight="1"/>
    <pageSetUpPr/>
  </sheetPr>
  <dimension ref="A2:P61"/>
  <sheetViews>
    <sheetView workbookViewId="0">
      <pane ySplit="4" topLeftCell="A5" activePane="bottomLeft" state="frozen"/>
      <selection pane="bottomLeft" activeCell="A1" sqref="A1"/>
    </sheetView>
  </sheetViews>
  <sheetFormatPr baseColWidth="8" defaultRowHeight="15"/>
  <cols>
    <col width="5" customWidth="1" min="1" max="1"/>
    <col width="11" customWidth="1" min="2" max="2"/>
    <col width="14" customWidth="1" min="3" max="3"/>
    <col width="14" customWidth="1" min="4" max="4"/>
    <col width="14" customWidth="1" min="5" max="5"/>
    <col width="15" customWidth="1" min="6" max="6"/>
    <col width="26" customWidth="1" min="7" max="7"/>
    <col width="27" customWidth="1" min="8" max="8"/>
    <col width="44" customWidth="1" min="9" max="9"/>
    <col width="11" customWidth="1" min="10" max="10"/>
    <col width="22" customWidth="1" min="11" max="11"/>
    <col width="16" customWidth="1" min="12" max="12"/>
    <col width="24" customWidth="1" min="13" max="13"/>
    <col width="7" customWidth="1" min="14" max="14"/>
    <col width="52" customWidth="1" min="15" max="15"/>
    <col width="10" customWidth="1" min="16" max="16"/>
  </cols>
  <sheetData>
    <row r="2">
      <c r="A2" s="1" t="inlineStr">
        <is>
          <t>Audit samples</t>
        </is>
      </c>
    </row>
    <row r="3">
      <c r="A3" s="2" t="inlineStr">
        <is>
          <t>Extracted from the auditor's 'Paper Samples' sheet by scripts/extract_samples.py. Columns C and D are formulas, so correcting a payment date in column E re-derives the FEBAN statement-date range automatically.</t>
        </is>
      </c>
    </row>
    <row r="4">
      <c r="A4" s="17" t="inlineStr">
        <is>
          <t>#</t>
        </is>
      </c>
      <c r="B4" s="17" t="inlineStr">
        <is>
          <t>Month tab</t>
        </is>
      </c>
      <c r="C4" s="17" t="inlineStr">
        <is>
          <t>Stmt date from</t>
        </is>
      </c>
      <c r="D4" s="17" t="inlineStr">
        <is>
          <t>Stmt date to</t>
        </is>
      </c>
      <c r="E4" s="17" t="inlineStr">
        <is>
          <t>Payment date</t>
        </is>
      </c>
      <c r="F4" s="17" t="inlineStr">
        <is>
          <t>Amount</t>
        </is>
      </c>
      <c r="G4" s="17" t="inlineStr">
        <is>
          <t>Name of party</t>
        </is>
      </c>
      <c r="H4" s="17" t="inlineStr">
        <is>
          <t>Payment reference</t>
        </is>
      </c>
      <c r="I4" s="17" t="inlineStr">
        <is>
          <t>Data flags (from the auditor's file)</t>
        </is>
      </c>
      <c r="J4" s="17" t="inlineStr">
        <is>
          <t>Status</t>
        </is>
      </c>
      <c r="K4" s="17" t="inlineStr">
        <is>
          <t>Bank stmt / FEBAN item</t>
        </is>
      </c>
      <c r="L4" s="17" t="inlineStr">
        <is>
          <t>FI document</t>
        </is>
      </c>
      <c r="M4" s="17" t="inlineStr">
        <is>
          <t>Vendor invoice(s)</t>
        </is>
      </c>
      <c r="N4" s="17" t="inlineStr">
        <is>
          <t>Files</t>
        </is>
      </c>
      <c r="O4" s="17" t="inlineStr">
        <is>
          <t>Message</t>
        </is>
      </c>
      <c r="P4" s="17" t="inlineStr">
        <is>
          <t>Include?</t>
        </is>
      </c>
    </row>
    <row r="5">
      <c r="A5" s="10" t="n">
        <v>1</v>
      </c>
      <c r="B5" s="10" t="inlineStr">
        <is>
          <t>Sep 25</t>
        </is>
      </c>
      <c r="C5" s="25">
        <f>IF($E5="","",DATE(YEAR($E5),MONTH($E5),1))</f>
        <v/>
      </c>
      <c r="D5" s="25">
        <f>IF($E5="","",EOMONTH($E5,0))</f>
        <v/>
      </c>
      <c r="E5" s="25" t="n">
        <v>45903</v>
      </c>
      <c r="F5" s="26" t="n">
        <v>8072447.42</v>
      </c>
      <c r="G5" s="10" t="inlineStr"/>
      <c r="H5" s="10" t="inlineStr">
        <is>
          <t>ACH PYMTS - LCL BULK FNDG</t>
        </is>
      </c>
      <c r="I5" s="27" t="inlineStr">
        <is>
          <t>ref_whitespace_cleaned; no_named_beneficiary</t>
        </is>
      </c>
      <c r="J5" s="15" t="n"/>
      <c r="K5" s="15" t="n"/>
      <c r="L5" s="15" t="n"/>
      <c r="M5" s="15" t="n"/>
      <c r="N5" s="28" t="n"/>
      <c r="O5" s="15" t="n"/>
      <c r="P5" s="29" t="inlineStr">
        <is>
          <t>Yes</t>
        </is>
      </c>
    </row>
    <row r="6">
      <c r="A6" s="10" t="n">
        <v>2</v>
      </c>
      <c r="B6" s="10" t="inlineStr">
        <is>
          <t>Sep 25</t>
        </is>
      </c>
      <c r="C6" s="25">
        <f>IF($E6="","",DATE(YEAR($E6),MONTH($E6),1))</f>
        <v/>
      </c>
      <c r="D6" s="25">
        <f>IF($E6="","",EOMONTH($E6,0))</f>
        <v/>
      </c>
      <c r="E6" s="25" t="n">
        <v>45912</v>
      </c>
      <c r="F6" s="26" t="n">
        <v>2161788.23</v>
      </c>
      <c r="G6" s="10" t="inlineStr">
        <is>
          <t>DS SMITH LTD</t>
        </is>
      </c>
      <c r="H6" s="10" t="inlineStr">
        <is>
          <t>ISSUE CHAPS PAYMENT</t>
        </is>
      </c>
      <c r="I6" s="27" t="inlineStr">
        <is>
          <t>ref_whitespace_cleaned</t>
        </is>
      </c>
      <c r="J6" s="15" t="n"/>
      <c r="K6" s="15" t="n"/>
      <c r="L6" s="15" t="n"/>
      <c r="M6" s="15" t="n"/>
      <c r="N6" s="28" t="n"/>
      <c r="O6" s="15" t="n"/>
      <c r="P6" s="29" t="inlineStr">
        <is>
          <t>Yes</t>
        </is>
      </c>
    </row>
    <row r="7">
      <c r="A7" s="10" t="n">
        <v>3</v>
      </c>
      <c r="B7" s="10" t="inlineStr">
        <is>
          <t>Sep 25</t>
        </is>
      </c>
      <c r="C7" s="25">
        <f>IF($E7="","",DATE(YEAR($E7),MONTH($E7),1))</f>
        <v/>
      </c>
      <c r="D7" s="25">
        <f>IF($E7="","",EOMONTH($E7,0))</f>
        <v/>
      </c>
      <c r="E7" s="25" t="n">
        <v>45915</v>
      </c>
      <c r="F7" s="26" t="n">
        <v>5988033.6</v>
      </c>
      <c r="G7" s="10" t="inlineStr"/>
      <c r="H7" s="10" t="inlineStr">
        <is>
          <t>ACH PYMTS - LCL BULK FNDG</t>
        </is>
      </c>
      <c r="I7" s="27" t="inlineStr">
        <is>
          <t>ref_whitespace_cleaned; no_named_beneficiary</t>
        </is>
      </c>
      <c r="J7" s="15" t="n"/>
      <c r="K7" s="15" t="n"/>
      <c r="L7" s="15" t="n"/>
      <c r="M7" s="15" t="n"/>
      <c r="N7" s="28" t="n"/>
      <c r="O7" s="15" t="n"/>
      <c r="P7" s="29" t="inlineStr">
        <is>
          <t>Yes</t>
        </is>
      </c>
    </row>
    <row r="8">
      <c r="A8" s="10" t="n">
        <v>4</v>
      </c>
      <c r="B8" s="10" t="inlineStr">
        <is>
          <t>Sep 25</t>
        </is>
      </c>
      <c r="C8" s="25">
        <f>IF($E8="","",DATE(YEAR($E8),MONTH($E8),1))</f>
        <v/>
      </c>
      <c r="D8" s="25">
        <f>IF($E8="","",EOMONTH($E8,0))</f>
        <v/>
      </c>
      <c r="E8" s="25" t="n">
        <v>45922</v>
      </c>
      <c r="F8" s="26" t="n">
        <v>2942842.52</v>
      </c>
      <c r="G8" s="10" t="inlineStr"/>
      <c r="H8" s="10" t="inlineStr">
        <is>
          <t>ACH PYMTS - LCL BULK FNDG</t>
        </is>
      </c>
      <c r="I8" s="27" t="inlineStr">
        <is>
          <t>ref_whitespace_cleaned; no_named_beneficiary</t>
        </is>
      </c>
      <c r="J8" s="15" t="n"/>
      <c r="K8" s="15" t="n"/>
      <c r="L8" s="15" t="n"/>
      <c r="M8" s="15" t="n"/>
      <c r="N8" s="28" t="n"/>
      <c r="O8" s="15" t="n"/>
      <c r="P8" s="29" t="inlineStr">
        <is>
          <t>Yes</t>
        </is>
      </c>
    </row>
    <row r="9">
      <c r="A9" s="10" t="n">
        <v>5</v>
      </c>
      <c r="B9" s="10" t="inlineStr">
        <is>
          <t>Sep 25</t>
        </is>
      </c>
      <c r="C9" s="25">
        <f>IF($E9="","",DATE(YEAR($E9),MONTH($E9),1))</f>
        <v/>
      </c>
      <c r="D9" s="25">
        <f>IF($E9="","",EOMONTH($E9,0))</f>
        <v/>
      </c>
      <c r="E9" s="25" t="n">
        <v>45924</v>
      </c>
      <c r="F9" s="26" t="n">
        <v>8617262.93</v>
      </c>
      <c r="G9" s="10" t="inlineStr">
        <is>
          <t>DS Smith Paper Limited</t>
        </is>
      </c>
      <c r="H9" s="10" t="inlineStr">
        <is>
          <t>ISSUE CHAPS PAYMENT</t>
        </is>
      </c>
      <c r="I9" s="27" t="inlineStr">
        <is>
          <t>ref_whitespace_cleaned; party_whitespace_cleaned</t>
        </is>
      </c>
      <c r="J9" s="15" t="n"/>
      <c r="K9" s="15" t="n"/>
      <c r="L9" s="15" t="n"/>
      <c r="M9" s="15" t="n"/>
      <c r="N9" s="28" t="n"/>
      <c r="O9" s="15" t="n"/>
      <c r="P9" s="29" t="inlineStr">
        <is>
          <t>Yes</t>
        </is>
      </c>
    </row>
    <row r="10">
      <c r="A10" s="10" t="n">
        <v>6</v>
      </c>
      <c r="B10" s="10" t="inlineStr">
        <is>
          <t>Sep 25</t>
        </is>
      </c>
      <c r="C10" s="25">
        <f>IF($E10="","",DATE(YEAR($E10),MONTH($E10),1))</f>
        <v/>
      </c>
      <c r="D10" s="25">
        <f>IF($E10="","",EOMONTH($E10,0))</f>
        <v/>
      </c>
      <c r="E10" s="25" t="n">
        <v>45925</v>
      </c>
      <c r="F10" s="26" t="n">
        <v>2968313.21</v>
      </c>
      <c r="G10" s="10" t="inlineStr">
        <is>
          <t>DS Smith Paper Limited</t>
        </is>
      </c>
      <c r="H10" s="10" t="inlineStr">
        <is>
          <t>ISSUE CHAPS PAYMENT</t>
        </is>
      </c>
      <c r="I10" s="27" t="inlineStr">
        <is>
          <t>party_whitespace_cleaned</t>
        </is>
      </c>
      <c r="J10" s="15" t="n"/>
      <c r="K10" s="15" t="n"/>
      <c r="L10" s="15" t="n"/>
      <c r="M10" s="15" t="n"/>
      <c r="N10" s="28" t="n"/>
      <c r="O10" s="15" t="n"/>
      <c r="P10" s="29" t="inlineStr">
        <is>
          <t>Yes</t>
        </is>
      </c>
    </row>
    <row r="11">
      <c r="A11" s="10" t="n">
        <v>7</v>
      </c>
      <c r="B11" s="10" t="inlineStr">
        <is>
          <t>Sep 25</t>
        </is>
      </c>
      <c r="C11" s="25">
        <f>IF($E11="","",DATE(YEAR($E11),MONTH($E11),1))</f>
        <v/>
      </c>
      <c r="D11" s="25">
        <f>IF($E11="","",EOMONTH($E11,0))</f>
        <v/>
      </c>
      <c r="E11" s="25" t="n">
        <v>45930</v>
      </c>
      <c r="F11" s="26" t="n">
        <v>2450000</v>
      </c>
      <c r="G11" s="10" t="inlineStr">
        <is>
          <t>DS SMITH LTD</t>
        </is>
      </c>
      <c r="H11" s="10" t="inlineStr">
        <is>
          <t>ISSUE CHAPS PAYMENT</t>
        </is>
      </c>
      <c r="I11" s="27" t="inlineStr">
        <is>
          <t>ref_whitespace_cleaned; party_whitespace_cleaned</t>
        </is>
      </c>
      <c r="J11" s="15" t="n"/>
      <c r="K11" s="15" t="n"/>
      <c r="L11" s="15" t="n"/>
      <c r="M11" s="15" t="n"/>
      <c r="N11" s="28" t="n"/>
      <c r="O11" s="15" t="n"/>
      <c r="P11" s="29" t="inlineStr">
        <is>
          <t>Yes</t>
        </is>
      </c>
    </row>
    <row r="12">
      <c r="A12" s="10" t="n">
        <v>8</v>
      </c>
      <c r="B12" s="10" t="inlineStr">
        <is>
          <t>Oct 25</t>
        </is>
      </c>
      <c r="C12" s="25">
        <f>IF($E12="","",DATE(YEAR($E12),MONTH($E12),1))</f>
        <v/>
      </c>
      <c r="D12" s="25">
        <f>IF($E12="","",EOMONTH($E12,0))</f>
        <v/>
      </c>
      <c r="E12" s="25" t="n">
        <v>45931</v>
      </c>
      <c r="F12" s="26" t="n">
        <v>4483676.08</v>
      </c>
      <c r="G12" s="10" t="inlineStr">
        <is>
          <t>SANTANDER SCF</t>
        </is>
      </c>
      <c r="H12" s="10" t="inlineStr">
        <is>
          <t>ISSUE CHAPS PAYMENT</t>
        </is>
      </c>
      <c r="I12" s="27" t="inlineStr">
        <is>
          <t>ref_whitespace_cleaned; party_whitespace_cleaned</t>
        </is>
      </c>
      <c r="J12" s="15" t="n"/>
      <c r="K12" s="15" t="n"/>
      <c r="L12" s="15" t="n"/>
      <c r="M12" s="15" t="n"/>
      <c r="N12" s="28" t="n"/>
      <c r="O12" s="15" t="n"/>
      <c r="P12" s="29" t="inlineStr">
        <is>
          <t>Yes</t>
        </is>
      </c>
    </row>
    <row r="13">
      <c r="A13" s="10" t="n">
        <v>9</v>
      </c>
      <c r="B13" s="10" t="inlineStr">
        <is>
          <t>Oct 25</t>
        </is>
      </c>
      <c r="C13" s="25">
        <f>IF($E13="","",DATE(YEAR($E13),MONTH($E13),1))</f>
        <v/>
      </c>
      <c r="D13" s="25">
        <f>IF($E13="","",EOMONTH($E13,0))</f>
        <v/>
      </c>
      <c r="E13" s="25" t="n">
        <v>45933</v>
      </c>
      <c r="F13" s="26" t="n">
        <v>3412038.97</v>
      </c>
      <c r="G13" s="10" t="inlineStr"/>
      <c r="H13" s="10" t="inlineStr">
        <is>
          <t>ACH PYMTS - LCL BULK FNDG</t>
        </is>
      </c>
      <c r="I13" s="27" t="inlineStr">
        <is>
          <t>ref_whitespace_cleaned; no_named_beneficiary</t>
        </is>
      </c>
      <c r="J13" s="15" t="n"/>
      <c r="K13" s="15" t="n"/>
      <c r="L13" s="15" t="n"/>
      <c r="M13" s="15" t="n"/>
      <c r="N13" s="28" t="n"/>
      <c r="O13" s="15" t="n"/>
      <c r="P13" s="29" t="inlineStr">
        <is>
          <t>Yes</t>
        </is>
      </c>
    </row>
    <row r="14">
      <c r="A14" s="10" t="n">
        <v>10</v>
      </c>
      <c r="B14" s="10" t="inlineStr">
        <is>
          <t>Oct 25</t>
        </is>
      </c>
      <c r="C14" s="25">
        <f>IF($E14="","",DATE(YEAR($E14),MONTH($E14),1))</f>
        <v/>
      </c>
      <c r="D14" s="25">
        <f>IF($E14="","",EOMONTH($E14,0))</f>
        <v/>
      </c>
      <c r="E14" s="25" t="n">
        <v>45943</v>
      </c>
      <c r="F14" s="26" t="n">
        <v>3385329.45</v>
      </c>
      <c r="G14" s="10" t="inlineStr"/>
      <c r="H14" s="10" t="inlineStr">
        <is>
          <t>ACH PYMTS - LCL BULK FNDG</t>
        </is>
      </c>
      <c r="I14" s="27" t="inlineStr">
        <is>
          <t>ref_whitespace_cleaned; no_named_beneficiary</t>
        </is>
      </c>
      <c r="J14" s="15" t="n"/>
      <c r="K14" s="15" t="n"/>
      <c r="L14" s="15" t="n"/>
      <c r="M14" s="15" t="n"/>
      <c r="N14" s="28" t="n"/>
      <c r="O14" s="15" t="n"/>
      <c r="P14" s="29" t="inlineStr">
        <is>
          <t>Yes</t>
        </is>
      </c>
    </row>
    <row r="15">
      <c r="A15" s="10" t="n">
        <v>11</v>
      </c>
      <c r="B15" s="10" t="inlineStr">
        <is>
          <t>Oct 25</t>
        </is>
      </c>
      <c r="C15" s="25">
        <f>IF($E15="","",DATE(YEAR($E15),MONTH($E15),1))</f>
        <v/>
      </c>
      <c r="D15" s="25">
        <f>IF($E15="","",EOMONTH($E15,0))</f>
        <v/>
      </c>
      <c r="E15" s="25" t="n">
        <v>45950</v>
      </c>
      <c r="F15" s="26" t="n">
        <v>4898587.92</v>
      </c>
      <c r="G15" s="10" t="inlineStr"/>
      <c r="H15" s="10" t="inlineStr">
        <is>
          <t>ACH PYMTS - LCL BULK FNDG</t>
        </is>
      </c>
      <c r="I15" s="27" t="inlineStr">
        <is>
          <t>ref_whitespace_cleaned; no_named_beneficiary</t>
        </is>
      </c>
      <c r="J15" s="15" t="n"/>
      <c r="K15" s="15" t="n"/>
      <c r="L15" s="15" t="n"/>
      <c r="M15" s="15" t="n"/>
      <c r="N15" s="28" t="n"/>
      <c r="O15" s="15" t="n"/>
      <c r="P15" s="29" t="inlineStr">
        <is>
          <t>Yes</t>
        </is>
      </c>
    </row>
    <row r="16">
      <c r="A16" s="10" t="n">
        <v>12</v>
      </c>
      <c r="B16" s="10" t="inlineStr">
        <is>
          <t>Oct 25</t>
        </is>
      </c>
      <c r="C16" s="25">
        <f>IF($E16="","",DATE(YEAR($E16),MONTH($E16),1))</f>
        <v/>
      </c>
      <c r="D16" s="25">
        <f>IF($E16="","",EOMONTH($E16,0))</f>
        <v/>
      </c>
      <c r="E16" s="25" t="n">
        <v>45954</v>
      </c>
      <c r="F16" s="26" t="n">
        <v>3480924.53</v>
      </c>
      <c r="G16" s="10" t="inlineStr">
        <is>
          <t>DS SMITH LTD</t>
        </is>
      </c>
      <c r="H16" s="10" t="inlineStr">
        <is>
          <t>ISSUE CHAPS PAYMENT</t>
        </is>
      </c>
      <c r="I16" s="27" t="inlineStr">
        <is>
          <t>date_stored_as_text; party_whitespace_cleaned</t>
        </is>
      </c>
      <c r="J16" s="15" t="n"/>
      <c r="K16" s="15" t="n"/>
      <c r="L16" s="15" t="n"/>
      <c r="M16" s="15" t="n"/>
      <c r="N16" s="28" t="n"/>
      <c r="O16" s="15" t="n"/>
      <c r="P16" s="29" t="inlineStr">
        <is>
          <t>Yes</t>
        </is>
      </c>
    </row>
    <row r="17">
      <c r="A17" s="10" t="n">
        <v>13</v>
      </c>
      <c r="B17" s="10" t="inlineStr">
        <is>
          <t>Oct 25</t>
        </is>
      </c>
      <c r="C17" s="25">
        <f>IF($E17="","",DATE(YEAR($E17),MONTH($E17),1))</f>
        <v/>
      </c>
      <c r="D17" s="25">
        <f>IF($E17="","",EOMONTH($E17,0))</f>
        <v/>
      </c>
      <c r="E17" s="25" t="n">
        <v>45957</v>
      </c>
      <c r="F17" s="26" t="n">
        <v>2614260.03</v>
      </c>
      <c r="G17" s="10" t="inlineStr">
        <is>
          <t>DS Smith Paper Limited</t>
        </is>
      </c>
      <c r="H17" s="10" t="inlineStr">
        <is>
          <t>ISSUE CHAPS PAYMENT</t>
        </is>
      </c>
      <c r="I17" s="27" t="inlineStr">
        <is>
          <t>party_whitespace_cleaned</t>
        </is>
      </c>
      <c r="J17" s="15" t="n"/>
      <c r="K17" s="15" t="n"/>
      <c r="L17" s="15" t="n"/>
      <c r="M17" s="15" t="n"/>
      <c r="N17" s="28" t="n"/>
      <c r="O17" s="15" t="n"/>
      <c r="P17" s="29" t="inlineStr">
        <is>
          <t>Yes</t>
        </is>
      </c>
    </row>
    <row r="18">
      <c r="A18" s="10" t="n">
        <v>14</v>
      </c>
      <c r="B18" s="10" t="inlineStr">
        <is>
          <t>Oct 25</t>
        </is>
      </c>
      <c r="C18" s="25">
        <f>IF($E18="","",DATE(YEAR($E18),MONTH($E18),1))</f>
        <v/>
      </c>
      <c r="D18" s="25">
        <f>IF($E18="","",EOMONTH($E18,0))</f>
        <v/>
      </c>
      <c r="E18" s="25" t="n">
        <v>45961</v>
      </c>
      <c r="F18" s="26" t="n">
        <v>2450000</v>
      </c>
      <c r="G18" s="10" t="inlineStr">
        <is>
          <t>DS SMITH LTD</t>
        </is>
      </c>
      <c r="H18" s="10" t="inlineStr">
        <is>
          <t>ISSUE CHAPS PAYMENT</t>
        </is>
      </c>
      <c r="I18" s="27" t="inlineStr">
        <is>
          <t>party_whitespace_cleaned</t>
        </is>
      </c>
      <c r="J18" s="15" t="n"/>
      <c r="K18" s="15" t="n"/>
      <c r="L18" s="15" t="n"/>
      <c r="M18" s="15" t="n"/>
      <c r="N18" s="28" t="n"/>
      <c r="O18" s="15" t="n"/>
      <c r="P18" s="29" t="inlineStr">
        <is>
          <t>Yes</t>
        </is>
      </c>
    </row>
    <row r="19">
      <c r="A19" s="10" t="n">
        <v>15</v>
      </c>
      <c r="B19" s="10" t="inlineStr">
        <is>
          <t>Oct 25</t>
        </is>
      </c>
      <c r="C19" s="25">
        <f>IF($E19="","",DATE(YEAR($E19),MONTH($E19),1))</f>
        <v/>
      </c>
      <c r="D19" s="25">
        <f>IF($E19="","",EOMONTH($E19,0))</f>
        <v/>
      </c>
      <c r="E19" s="25" t="n">
        <v>45961</v>
      </c>
      <c r="F19" s="26" t="n">
        <v>3317511.83</v>
      </c>
      <c r="G19" s="10" t="inlineStr">
        <is>
          <t>DS Smith Paper Limited</t>
        </is>
      </c>
      <c r="H19" s="10" t="inlineStr">
        <is>
          <t>ISSUE CHAPS PAYMENT</t>
        </is>
      </c>
      <c r="I19" s="27" t="inlineStr">
        <is>
          <t>party_whitespace_cleaned</t>
        </is>
      </c>
      <c r="J19" s="15" t="n"/>
      <c r="K19" s="15" t="n"/>
      <c r="L19" s="15" t="n"/>
      <c r="M19" s="15" t="n"/>
      <c r="N19" s="28" t="n"/>
      <c r="O19" s="15" t="n"/>
      <c r="P19" s="29" t="inlineStr">
        <is>
          <t>Yes</t>
        </is>
      </c>
    </row>
    <row r="20">
      <c r="A20" s="10" t="n">
        <v>16</v>
      </c>
      <c r="B20" s="10" t="inlineStr">
        <is>
          <t>Nov 25</t>
        </is>
      </c>
      <c r="C20" s="25">
        <f>IF($E20="","",DATE(YEAR($E20),MONTH($E20),1))</f>
        <v/>
      </c>
      <c r="D20" s="25">
        <f>IF($E20="","",EOMONTH($E20,0))</f>
        <v/>
      </c>
      <c r="E20" s="25" t="n">
        <v>45964</v>
      </c>
      <c r="F20" s="26" t="n">
        <v>3724798.28</v>
      </c>
      <c r="G20" s="10" t="inlineStr">
        <is>
          <t>SANTANDER SCF</t>
        </is>
      </c>
      <c r="H20" s="10" t="inlineStr">
        <is>
          <t>ISSUE CHAPS PAYMENT</t>
        </is>
      </c>
      <c r="I20" s="27" t="inlineStr"/>
      <c r="J20" s="15" t="n"/>
      <c r="K20" s="15" t="n"/>
      <c r="L20" s="15" t="n"/>
      <c r="M20" s="15" t="n"/>
      <c r="N20" s="28" t="n"/>
      <c r="O20" s="15" t="n"/>
      <c r="P20" s="29" t="inlineStr">
        <is>
          <t>Yes</t>
        </is>
      </c>
    </row>
    <row r="21">
      <c r="A21" s="10" t="n">
        <v>17</v>
      </c>
      <c r="B21" s="10" t="inlineStr">
        <is>
          <t>Nov 25</t>
        </is>
      </c>
      <c r="C21" s="25">
        <f>IF($E21="","",DATE(YEAR($E21),MONTH($E21),1))</f>
        <v/>
      </c>
      <c r="D21" s="25">
        <f>IF($E21="","",EOMONTH($E21,0))</f>
        <v/>
      </c>
      <c r="E21" s="25" t="n">
        <v>45966</v>
      </c>
      <c r="F21" s="26" t="n">
        <v>5044035.13</v>
      </c>
      <c r="G21" s="10" t="inlineStr"/>
      <c r="H21" s="10" t="inlineStr">
        <is>
          <t>ACH PYMTS - LCL BULK FNDG</t>
        </is>
      </c>
      <c r="I21" s="27" t="inlineStr">
        <is>
          <t>ref_whitespace_cleaned; no_named_beneficiary</t>
        </is>
      </c>
      <c r="J21" s="15" t="n"/>
      <c r="K21" s="15" t="n"/>
      <c r="L21" s="15" t="n"/>
      <c r="M21" s="15" t="n"/>
      <c r="N21" s="28" t="n"/>
      <c r="O21" s="15" t="n"/>
      <c r="P21" s="29" t="inlineStr">
        <is>
          <t>Yes</t>
        </is>
      </c>
    </row>
    <row r="22">
      <c r="A22" s="10" t="n">
        <v>18</v>
      </c>
      <c r="B22" s="10" t="inlineStr">
        <is>
          <t>Nov 25</t>
        </is>
      </c>
      <c r="C22" s="25">
        <f>IF($E22="","",DATE(YEAR($E22),MONTH($E22),1))</f>
        <v/>
      </c>
      <c r="D22" s="25">
        <f>IF($E22="","",EOMONTH($E22,0))</f>
        <v/>
      </c>
      <c r="E22" s="25" t="n">
        <v>45978</v>
      </c>
      <c r="F22" s="26" t="n">
        <v>5245536.51</v>
      </c>
      <c r="G22" s="10" t="inlineStr"/>
      <c r="H22" s="10" t="inlineStr">
        <is>
          <t>ACH PYMTS - LCL BULK FNDG</t>
        </is>
      </c>
      <c r="I22" s="27" t="inlineStr">
        <is>
          <t>ref_whitespace_cleaned; no_named_beneficiary</t>
        </is>
      </c>
      <c r="J22" s="15" t="n"/>
      <c r="K22" s="15" t="n"/>
      <c r="L22" s="15" t="n"/>
      <c r="M22" s="15" t="n"/>
      <c r="N22" s="28" t="n"/>
      <c r="O22" s="15" t="n"/>
      <c r="P22" s="29" t="inlineStr">
        <is>
          <t>Yes</t>
        </is>
      </c>
    </row>
    <row r="23">
      <c r="A23" s="10" t="n">
        <v>19</v>
      </c>
      <c r="B23" s="10" t="inlineStr">
        <is>
          <t>Nov 25</t>
        </is>
      </c>
      <c r="C23" s="25">
        <f>IF($E23="","",DATE(YEAR($E23),MONTH($E23),1))</f>
        <v/>
      </c>
      <c r="D23" s="25">
        <f>IF($E23="","",EOMONTH($E23,0))</f>
        <v/>
      </c>
      <c r="E23" s="25" t="n">
        <v>45989</v>
      </c>
      <c r="F23" s="26" t="n">
        <v>4173936.71</v>
      </c>
      <c r="G23" s="10" t="inlineStr">
        <is>
          <t>DS Smith Paper Limited</t>
        </is>
      </c>
      <c r="H23" s="10" t="inlineStr">
        <is>
          <t>ISSUE CHAPS PAYMENT</t>
        </is>
      </c>
      <c r="I23" s="27" t="inlineStr">
        <is>
          <t>party_whitespace_cleaned</t>
        </is>
      </c>
      <c r="J23" s="15" t="n"/>
      <c r="K23" s="15" t="n"/>
      <c r="L23" s="15" t="n"/>
      <c r="M23" s="15" t="n"/>
      <c r="N23" s="28" t="n"/>
      <c r="O23" s="15" t="n"/>
      <c r="P23" s="29" t="inlineStr">
        <is>
          <t>Yes</t>
        </is>
      </c>
    </row>
    <row r="24">
      <c r="A24" s="10" t="n">
        <v>20</v>
      </c>
      <c r="B24" s="10" t="inlineStr">
        <is>
          <t>Nov 25</t>
        </is>
      </c>
      <c r="C24" s="25">
        <f>IF($E24="","",DATE(YEAR($E24),MONTH($E24),1))</f>
        <v/>
      </c>
      <c r="D24" s="25">
        <f>IF($E24="","",EOMONTH($E24,0))</f>
        <v/>
      </c>
      <c r="E24" s="25" t="n">
        <v>45989</v>
      </c>
      <c r="F24" s="26" t="n">
        <v>2450000</v>
      </c>
      <c r="G24" s="10" t="inlineStr">
        <is>
          <t>DS SMITH LTD</t>
        </is>
      </c>
      <c r="H24" s="10" t="inlineStr">
        <is>
          <t>ISSUE CHAPS PAYMENT</t>
        </is>
      </c>
      <c r="I24" s="27" t="inlineStr">
        <is>
          <t>date_stored_as_text; ref_whitespace_cleaned; party_whitespace_cleaned</t>
        </is>
      </c>
      <c r="J24" s="15" t="n"/>
      <c r="K24" s="15" t="n"/>
      <c r="L24" s="15" t="n"/>
      <c r="M24" s="15" t="n"/>
      <c r="N24" s="28" t="n"/>
      <c r="O24" s="15" t="n"/>
      <c r="P24" s="29" t="inlineStr">
        <is>
          <t>Yes</t>
        </is>
      </c>
    </row>
    <row r="25">
      <c r="A25" s="10" t="n">
        <v>21</v>
      </c>
      <c r="B25" s="10" t="inlineStr">
        <is>
          <t>Dec 25</t>
        </is>
      </c>
      <c r="C25" s="25">
        <f>IF($E25="","",DATE(YEAR($E25),MONTH($E25),1))</f>
        <v/>
      </c>
      <c r="D25" s="25">
        <f>IF($E25="","",EOMONTH($E25,0))</f>
        <v/>
      </c>
      <c r="E25" s="25" t="n">
        <v>46020</v>
      </c>
      <c r="F25" s="26" t="n">
        <v>2828677.68</v>
      </c>
      <c r="G25" s="10" t="inlineStr">
        <is>
          <t>DS Smith Paper Limited</t>
        </is>
      </c>
      <c r="H25" s="10" t="inlineStr">
        <is>
          <t>ISSUE CHAPS PAYMENT</t>
        </is>
      </c>
      <c r="I25" s="27" t="inlineStr">
        <is>
          <t>party_whitespace_cleaned</t>
        </is>
      </c>
      <c r="J25" s="15" t="n"/>
      <c r="K25" s="15" t="n"/>
      <c r="L25" s="15" t="n"/>
      <c r="M25" s="15" t="n"/>
      <c r="N25" s="28" t="n"/>
      <c r="O25" s="15" t="n"/>
      <c r="P25" s="29" t="inlineStr">
        <is>
          <t>Yes</t>
        </is>
      </c>
    </row>
    <row r="26">
      <c r="A26" s="10" t="n">
        <v>22</v>
      </c>
      <c r="B26" s="10" t="inlineStr">
        <is>
          <t>Dec 25</t>
        </is>
      </c>
      <c r="C26" s="25">
        <f>IF($E26="","",DATE(YEAR($E26),MONTH($E26),1))</f>
        <v/>
      </c>
      <c r="D26" s="25">
        <f>IF($E26="","",EOMONTH($E26,0))</f>
        <v/>
      </c>
      <c r="E26" s="25" t="n">
        <v>46022</v>
      </c>
      <c r="F26" s="26" t="n">
        <v>2450000</v>
      </c>
      <c r="G26" s="10" t="inlineStr">
        <is>
          <t>DS SMITH LTD</t>
        </is>
      </c>
      <c r="H26" s="10" t="inlineStr">
        <is>
          <t>ISSUE CHAPS PAYMENT</t>
        </is>
      </c>
      <c r="I26" s="27" t="inlineStr">
        <is>
          <t>ref_whitespace_cleaned; party_whitespace_cleaned</t>
        </is>
      </c>
      <c r="J26" s="15" t="n"/>
      <c r="K26" s="15" t="n"/>
      <c r="L26" s="15" t="n"/>
      <c r="M26" s="15" t="n"/>
      <c r="N26" s="28" t="n"/>
      <c r="O26" s="15" t="n"/>
      <c r="P26" s="29" t="inlineStr">
        <is>
          <t>Yes</t>
        </is>
      </c>
    </row>
    <row r="27">
      <c r="A27" s="10" t="n">
        <v>23</v>
      </c>
      <c r="B27" s="10" t="inlineStr">
        <is>
          <t>Dec 25</t>
        </is>
      </c>
      <c r="C27" s="25">
        <f>IF($E27="","",DATE(YEAR($E27),MONTH($E27),1))</f>
        <v/>
      </c>
      <c r="D27" s="25">
        <f>IF($E27="","",EOMONTH($E27,0))</f>
        <v/>
      </c>
      <c r="E27" s="25" t="n">
        <v>46022</v>
      </c>
      <c r="F27" s="26" t="n">
        <v>2233241.99</v>
      </c>
      <c r="G27" s="10" t="inlineStr">
        <is>
          <t>DS Smith Paper Limited</t>
        </is>
      </c>
      <c r="H27" s="10" t="inlineStr">
        <is>
          <t>ISSUE CHAPS PAYMENT</t>
        </is>
      </c>
      <c r="I27" s="27" t="inlineStr">
        <is>
          <t>party_whitespace_cleaned</t>
        </is>
      </c>
      <c r="J27" s="15" t="n"/>
      <c r="K27" s="15" t="n"/>
      <c r="L27" s="15" t="n"/>
      <c r="M27" s="15" t="n"/>
      <c r="N27" s="28" t="n"/>
      <c r="O27" s="15" t="n"/>
      <c r="P27" s="29" t="inlineStr">
        <is>
          <t>Yes</t>
        </is>
      </c>
    </row>
    <row r="28">
      <c r="A28" s="10" t="n">
        <v>24</v>
      </c>
      <c r="B28" s="10" t="inlineStr">
        <is>
          <t>Jan 26</t>
        </is>
      </c>
      <c r="C28" s="25">
        <f>IF($E28="","",DATE(YEAR($E28),MONTH($E28),1))</f>
        <v/>
      </c>
      <c r="D28" s="25">
        <f>IF($E28="","",EOMONTH($E28,0))</f>
        <v/>
      </c>
      <c r="E28" s="25" t="n">
        <v>46024</v>
      </c>
      <c r="F28" s="26" t="n">
        <v>3489077.98</v>
      </c>
      <c r="G28" s="10" t="inlineStr">
        <is>
          <t>SANTANDER SCF</t>
        </is>
      </c>
      <c r="H28" s="10" t="inlineStr">
        <is>
          <t>ISSUE CHAPS PAYMENT</t>
        </is>
      </c>
      <c r="I28" s="27" t="inlineStr">
        <is>
          <t>ref_whitespace_cleaned</t>
        </is>
      </c>
      <c r="J28" s="15" t="n"/>
      <c r="K28" s="15" t="n"/>
      <c r="L28" s="15" t="n"/>
      <c r="M28" s="15" t="n"/>
      <c r="N28" s="28" t="n"/>
      <c r="O28" s="15" t="n"/>
      <c r="P28" s="29" t="inlineStr">
        <is>
          <t>Yes</t>
        </is>
      </c>
    </row>
    <row r="29">
      <c r="A29" s="10" t="n">
        <v>25</v>
      </c>
      <c r="B29" s="10" t="inlineStr">
        <is>
          <t>Jan 26</t>
        </is>
      </c>
      <c r="C29" s="25">
        <f>IF($E29="","",DATE(YEAR($E29),MONTH($E29),1))</f>
        <v/>
      </c>
      <c r="D29" s="25">
        <f>IF($E29="","",EOMONTH($E29,0))</f>
        <v/>
      </c>
      <c r="E29" s="25" t="n">
        <v>46028</v>
      </c>
      <c r="F29" s="26" t="n">
        <v>4395299.21</v>
      </c>
      <c r="G29" s="10" t="inlineStr"/>
      <c r="H29" s="10" t="inlineStr">
        <is>
          <t>ACH PYMTS - LCL BULK FNDG</t>
        </is>
      </c>
      <c r="I29" s="27" t="inlineStr">
        <is>
          <t>ref_whitespace_cleaned; no_named_beneficiary</t>
        </is>
      </c>
      <c r="J29" s="15" t="n"/>
      <c r="K29" s="15" t="n"/>
      <c r="L29" s="15" t="n"/>
      <c r="M29" s="15" t="n"/>
      <c r="N29" s="28" t="n"/>
      <c r="O29" s="15" t="n"/>
      <c r="P29" s="29" t="inlineStr">
        <is>
          <t>Yes</t>
        </is>
      </c>
    </row>
    <row r="30">
      <c r="A30" s="10" t="n">
        <v>26</v>
      </c>
      <c r="B30" s="10" t="inlineStr">
        <is>
          <t>Jan 26</t>
        </is>
      </c>
      <c r="C30" s="25">
        <f>IF($E30="","",DATE(YEAR($E30),MONTH($E30),1))</f>
        <v/>
      </c>
      <c r="D30" s="25">
        <f>IF($E30="","",EOMONTH($E30,0))</f>
        <v/>
      </c>
      <c r="E30" s="25" t="n">
        <v>46031</v>
      </c>
      <c r="F30" s="26" t="n">
        <v>8800991.4</v>
      </c>
      <c r="G30" s="10" t="inlineStr"/>
      <c r="H30" s="10" t="inlineStr">
        <is>
          <t>ACH PYMTS - LCL BULK FNDG</t>
        </is>
      </c>
      <c r="I30" s="27" t="inlineStr">
        <is>
          <t>ref_whitespace_cleaned; no_named_beneficiary</t>
        </is>
      </c>
      <c r="J30" s="15" t="n"/>
      <c r="K30" s="15" t="n"/>
      <c r="L30" s="15" t="n"/>
      <c r="M30" s="15" t="n"/>
      <c r="N30" s="28" t="n"/>
      <c r="O30" s="15" t="n"/>
      <c r="P30" s="29" t="inlineStr">
        <is>
          <t>Yes</t>
        </is>
      </c>
    </row>
    <row r="31">
      <c r="A31" s="10" t="n">
        <v>27</v>
      </c>
      <c r="B31" s="10" t="inlineStr">
        <is>
          <t>Jan 26</t>
        </is>
      </c>
      <c r="C31" s="25">
        <f>IF($E31="","",DATE(YEAR($E31),MONTH($E31),1))</f>
        <v/>
      </c>
      <c r="D31" s="25">
        <f>IF($E31="","",EOMONTH($E31,0))</f>
        <v/>
      </c>
      <c r="E31" s="25" t="n">
        <v>46038</v>
      </c>
      <c r="F31" s="26" t="n">
        <v>6502110.67</v>
      </c>
      <c r="G31" s="10" t="inlineStr">
        <is>
          <t>DS SMITH LTD</t>
        </is>
      </c>
      <c r="H31" s="10" t="inlineStr">
        <is>
          <t>ISSUE CHAPS PAYMENT</t>
        </is>
      </c>
      <c r="I31" s="27" t="inlineStr">
        <is>
          <t>date_stored_as_text; ref_whitespace_cleaned; party_whitespace_cleaned</t>
        </is>
      </c>
      <c r="J31" s="15" t="n"/>
      <c r="K31" s="15" t="n"/>
      <c r="L31" s="15" t="n"/>
      <c r="M31" s="15" t="n"/>
      <c r="N31" s="28" t="n"/>
      <c r="O31" s="15" t="n"/>
      <c r="P31" s="29" t="inlineStr">
        <is>
          <t>Yes</t>
        </is>
      </c>
    </row>
    <row r="32">
      <c r="A32" s="10" t="n">
        <v>28</v>
      </c>
      <c r="B32" s="10" t="inlineStr">
        <is>
          <t>Jan 26</t>
        </is>
      </c>
      <c r="C32" s="25">
        <f>IF($E32="","",DATE(YEAR($E32),MONTH($E32),1))</f>
        <v/>
      </c>
      <c r="D32" s="25">
        <f>IF($E32="","",EOMONTH($E32,0))</f>
        <v/>
      </c>
      <c r="E32" s="25" t="n">
        <v>46051</v>
      </c>
      <c r="F32" s="26" t="n">
        <v>3463573.21</v>
      </c>
      <c r="G32" s="10" t="inlineStr">
        <is>
          <t>DS SMITH LTD</t>
        </is>
      </c>
      <c r="H32" s="10" t="inlineStr">
        <is>
          <t>ISSUE CHAPS PAYMENT</t>
        </is>
      </c>
      <c r="I32" s="27" t="inlineStr">
        <is>
          <t>ref_whitespace_cleaned; party_whitespace_cleaned</t>
        </is>
      </c>
      <c r="J32" s="15" t="n"/>
      <c r="K32" s="15" t="n"/>
      <c r="L32" s="15" t="n"/>
      <c r="M32" s="15" t="n"/>
      <c r="N32" s="28" t="n"/>
      <c r="O32" s="15" t="n"/>
      <c r="P32" s="29" t="inlineStr">
        <is>
          <t>Yes</t>
        </is>
      </c>
    </row>
    <row r="33">
      <c r="A33" s="10" t="n">
        <v>29</v>
      </c>
      <c r="B33" s="10" t="inlineStr">
        <is>
          <t>Jan 26</t>
        </is>
      </c>
      <c r="C33" s="25">
        <f>IF($E33="","",DATE(YEAR($E33),MONTH($E33),1))</f>
        <v/>
      </c>
      <c r="D33" s="25">
        <f>IF($E33="","",EOMONTH($E33,0))</f>
        <v/>
      </c>
      <c r="E33" s="25" t="n">
        <v>46052</v>
      </c>
      <c r="F33" s="26" t="n">
        <v>2450000</v>
      </c>
      <c r="G33" s="10" t="inlineStr">
        <is>
          <t>DS SMITH LTD</t>
        </is>
      </c>
      <c r="H33" s="10" t="inlineStr">
        <is>
          <t>ISSUE CHAPS PAYMENT</t>
        </is>
      </c>
      <c r="I33" s="27" t="inlineStr">
        <is>
          <t>ref_whitespace_cleaned; party_whitespace_cleaned</t>
        </is>
      </c>
      <c r="J33" s="15" t="n"/>
      <c r="K33" s="15" t="n"/>
      <c r="L33" s="15" t="n"/>
      <c r="M33" s="15" t="n"/>
      <c r="N33" s="28" t="n"/>
      <c r="O33" s="15" t="n"/>
      <c r="P33" s="29" t="inlineStr">
        <is>
          <t>Yes</t>
        </is>
      </c>
    </row>
    <row r="34">
      <c r="A34" s="10" t="n">
        <v>30</v>
      </c>
      <c r="B34" s="10" t="inlineStr">
        <is>
          <t>Feb 26</t>
        </is>
      </c>
      <c r="C34" s="25">
        <f>IF($E34="","",DATE(YEAR($E34),MONTH($E34),1))</f>
        <v/>
      </c>
      <c r="D34" s="25">
        <f>IF($E34="","",EOMONTH($E34,0))</f>
        <v/>
      </c>
      <c r="E34" s="25" t="n">
        <v>46055</v>
      </c>
      <c r="F34" s="26" t="n">
        <v>3679179.76</v>
      </c>
      <c r="G34" s="10" t="inlineStr">
        <is>
          <t>SANTANDER SCF</t>
        </is>
      </c>
      <c r="H34" s="10" t="inlineStr">
        <is>
          <t>ISSUE CHAPS PAYMENT</t>
        </is>
      </c>
      <c r="I34" s="27" t="inlineStr">
        <is>
          <t>ref_whitespace_cleaned</t>
        </is>
      </c>
      <c r="J34" s="15" t="n"/>
      <c r="K34" s="15" t="n"/>
      <c r="L34" s="15" t="n"/>
      <c r="M34" s="15" t="n"/>
      <c r="N34" s="28" t="n"/>
      <c r="O34" s="15" t="n"/>
      <c r="P34" s="29" t="inlineStr">
        <is>
          <t>Yes</t>
        </is>
      </c>
    </row>
    <row r="35">
      <c r="A35" s="10" t="n">
        <v>31</v>
      </c>
      <c r="B35" s="10" t="inlineStr">
        <is>
          <t>Feb 26</t>
        </is>
      </c>
      <c r="C35" s="25">
        <f>IF($E35="","",DATE(YEAR($E35),MONTH($E35),1))</f>
        <v/>
      </c>
      <c r="D35" s="25">
        <f>IF($E35="","",EOMONTH($E35,0))</f>
        <v/>
      </c>
      <c r="E35" s="25" t="n">
        <v>46057</v>
      </c>
      <c r="F35" s="26" t="n">
        <v>3674499.52</v>
      </c>
      <c r="G35" s="10" t="inlineStr"/>
      <c r="H35" s="10" t="inlineStr">
        <is>
          <t>ACH PYMTS - LCL BULK FNDG</t>
        </is>
      </c>
      <c r="I35" s="27" t="inlineStr">
        <is>
          <t>ref_whitespace_cleaned; no_named_beneficiary</t>
        </is>
      </c>
      <c r="J35" s="15" t="n"/>
      <c r="K35" s="15" t="n"/>
      <c r="L35" s="15" t="n"/>
      <c r="M35" s="15" t="n"/>
      <c r="N35" s="28" t="n"/>
      <c r="O35" s="15" t="n"/>
      <c r="P35" s="29" t="inlineStr">
        <is>
          <t>Yes</t>
        </is>
      </c>
    </row>
    <row r="36">
      <c r="A36" s="10" t="n">
        <v>32</v>
      </c>
      <c r="B36" s="10" t="inlineStr">
        <is>
          <t>Feb 26</t>
        </is>
      </c>
      <c r="C36" s="25">
        <f>IF($E36="","",DATE(YEAR($E36),MONTH($E36),1))</f>
        <v/>
      </c>
      <c r="D36" s="25">
        <f>IF($E36="","",EOMONTH($E36,0))</f>
        <v/>
      </c>
      <c r="E36" s="25" t="n">
        <v>46080</v>
      </c>
      <c r="F36" s="26" t="n">
        <v>6558159.12</v>
      </c>
      <c r="G36" s="10" t="inlineStr">
        <is>
          <t>DS Smith Paper Limited</t>
        </is>
      </c>
      <c r="H36" s="10" t="inlineStr">
        <is>
          <t>ISSUE CHAPS PAYMENT</t>
        </is>
      </c>
      <c r="I36" s="27" t="inlineStr">
        <is>
          <t>party_whitespace_cleaned</t>
        </is>
      </c>
      <c r="J36" s="15" t="n"/>
      <c r="K36" s="15" t="n"/>
      <c r="L36" s="15" t="n"/>
      <c r="M36" s="15" t="n"/>
      <c r="N36" s="28" t="n"/>
      <c r="O36" s="15" t="n"/>
      <c r="P36" s="29" t="inlineStr">
        <is>
          <t>Yes</t>
        </is>
      </c>
    </row>
    <row r="37">
      <c r="A37" s="10" t="n">
        <v>33</v>
      </c>
      <c r="B37" s="10" t="inlineStr">
        <is>
          <t>Feb 26</t>
        </is>
      </c>
      <c r="C37" s="25">
        <f>IF($E37="","",DATE(YEAR($E37),MONTH($E37),1))</f>
        <v/>
      </c>
      <c r="D37" s="25">
        <f>IF($E37="","",EOMONTH($E37,0))</f>
        <v/>
      </c>
      <c r="E37" s="25" t="n">
        <v>46080</v>
      </c>
      <c r="F37" s="26" t="n">
        <v>2450000</v>
      </c>
      <c r="G37" s="10" t="inlineStr">
        <is>
          <t>DS SMITH LTD</t>
        </is>
      </c>
      <c r="H37" s="10" t="inlineStr">
        <is>
          <t>ISSUE CHAPS PAYMENT</t>
        </is>
      </c>
      <c r="I37" s="27" t="inlineStr">
        <is>
          <t>ref_whitespace_cleaned; party_whitespace_cleaned</t>
        </is>
      </c>
      <c r="J37" s="15" t="n"/>
      <c r="K37" s="15" t="n"/>
      <c r="L37" s="15" t="n"/>
      <c r="M37" s="15" t="n"/>
      <c r="N37" s="28" t="n"/>
      <c r="O37" s="15" t="n"/>
      <c r="P37" s="29" t="inlineStr">
        <is>
          <t>Yes</t>
        </is>
      </c>
    </row>
    <row r="38">
      <c r="A38" s="10" t="n">
        <v>34</v>
      </c>
      <c r="B38" s="10" t="inlineStr">
        <is>
          <t>Mar 26</t>
        </is>
      </c>
      <c r="C38" s="25">
        <f>IF($E38="","",DATE(YEAR($E38),MONTH($E38),1))</f>
        <v/>
      </c>
      <c r="D38" s="25">
        <f>IF($E38="","",EOMONTH($E38,0))</f>
        <v/>
      </c>
      <c r="E38" s="25" t="n">
        <v>46083</v>
      </c>
      <c r="F38" s="26" t="n">
        <v>3562528.89</v>
      </c>
      <c r="G38" s="10" t="inlineStr">
        <is>
          <t>SANTANDER SCF</t>
        </is>
      </c>
      <c r="H38" s="10" t="inlineStr">
        <is>
          <t>ISSUE CHAPS PAYMENT</t>
        </is>
      </c>
      <c r="I38" s="27" t="inlineStr">
        <is>
          <t>ref_whitespace_cleaned; party_whitespace_cleaned</t>
        </is>
      </c>
      <c r="J38" s="15" t="n"/>
      <c r="K38" s="15" t="n"/>
      <c r="L38" s="15" t="n"/>
      <c r="M38" s="15" t="n"/>
      <c r="N38" s="28" t="n"/>
      <c r="O38" s="15" t="n"/>
      <c r="P38" s="29" t="inlineStr">
        <is>
          <t>Yes</t>
        </is>
      </c>
    </row>
    <row r="39">
      <c r="A39" s="10" t="n">
        <v>35</v>
      </c>
      <c r="B39" s="10" t="inlineStr">
        <is>
          <t>Mar 26</t>
        </is>
      </c>
      <c r="C39" s="25">
        <f>IF($E39="","",DATE(YEAR($E39),MONTH($E39),1))</f>
        <v/>
      </c>
      <c r="D39" s="25">
        <f>IF($E39="","",EOMONTH($E39,0))</f>
        <v/>
      </c>
      <c r="E39" s="25" t="n">
        <v>46085</v>
      </c>
      <c r="F39" s="26" t="n">
        <v>8557737.25</v>
      </c>
      <c r="G39" s="10" t="inlineStr"/>
      <c r="H39" s="10" t="inlineStr">
        <is>
          <t>ACH PYMTS - LCL BULK FNDG</t>
        </is>
      </c>
      <c r="I39" s="27" t="inlineStr">
        <is>
          <t>no_named_beneficiary</t>
        </is>
      </c>
      <c r="J39" s="15" t="n"/>
      <c r="K39" s="15" t="n"/>
      <c r="L39" s="15" t="n"/>
      <c r="M39" s="15" t="n"/>
      <c r="N39" s="28" t="n"/>
      <c r="O39" s="15" t="n"/>
      <c r="P39" s="29" t="inlineStr">
        <is>
          <t>Yes</t>
        </is>
      </c>
    </row>
    <row r="40">
      <c r="A40" s="10" t="n">
        <v>36</v>
      </c>
      <c r="B40" s="10" t="inlineStr">
        <is>
          <t>Mar 26</t>
        </is>
      </c>
      <c r="C40" s="25">
        <f>IF($E40="","",DATE(YEAR($E40),MONTH($E40),1))</f>
        <v/>
      </c>
      <c r="D40" s="25">
        <f>IF($E40="","",EOMONTH($E40,0))</f>
        <v/>
      </c>
      <c r="E40" s="25" t="n">
        <v>46093</v>
      </c>
      <c r="F40" s="26" t="n">
        <v>2301959.84</v>
      </c>
      <c r="G40" s="10" t="inlineStr"/>
      <c r="H40" s="10" t="inlineStr">
        <is>
          <t>ACH PYMTS - LCL BULK FNDG</t>
        </is>
      </c>
      <c r="I40" s="27" t="inlineStr">
        <is>
          <t>no_named_beneficiary</t>
        </is>
      </c>
      <c r="J40" s="15" t="n"/>
      <c r="K40" s="15" t="n"/>
      <c r="L40" s="15" t="n"/>
      <c r="M40" s="15" t="n"/>
      <c r="N40" s="28" t="n"/>
      <c r="O40" s="15" t="n"/>
      <c r="P40" s="29" t="inlineStr">
        <is>
          <t>Yes</t>
        </is>
      </c>
    </row>
    <row r="41">
      <c r="A41" s="10" t="n">
        <v>37</v>
      </c>
      <c r="B41" s="10" t="inlineStr">
        <is>
          <t>Mar 26</t>
        </is>
      </c>
      <c r="C41" s="25">
        <f>IF($E41="","",DATE(YEAR($E41),MONTH($E41),1))</f>
        <v/>
      </c>
      <c r="D41" s="25">
        <f>IF($E41="","",EOMONTH($E41,0))</f>
        <v/>
      </c>
      <c r="E41" s="25" t="n">
        <v>46108</v>
      </c>
      <c r="F41" s="26" t="n">
        <v>5989486.48</v>
      </c>
      <c r="G41" s="10" t="inlineStr">
        <is>
          <t>DS Smith Paper Limited</t>
        </is>
      </c>
      <c r="H41" s="10" t="inlineStr">
        <is>
          <t>DS Smith Paper Limited</t>
        </is>
      </c>
      <c r="I41" s="27" t="inlineStr">
        <is>
          <t>ref_holds_a_party_name_not_a_transaction_description; party_whitespace_cleaned</t>
        </is>
      </c>
      <c r="J41" s="15" t="n"/>
      <c r="K41" s="15" t="n"/>
      <c r="L41" s="15" t="n"/>
      <c r="M41" s="15" t="n"/>
      <c r="N41" s="28" t="n"/>
      <c r="O41" s="15" t="n"/>
      <c r="P41" s="29" t="inlineStr">
        <is>
          <t>Yes</t>
        </is>
      </c>
    </row>
    <row r="42">
      <c r="A42" s="10" t="n">
        <v>38</v>
      </c>
      <c r="B42" s="10" t="inlineStr">
        <is>
          <t>Mar 26</t>
        </is>
      </c>
      <c r="C42" s="25">
        <f>IF($E42="","",DATE(YEAR($E42),MONTH($E42),1))</f>
        <v/>
      </c>
      <c r="D42" s="25">
        <f>IF($E42="","",EOMONTH($E42,0))</f>
        <v/>
      </c>
      <c r="E42" s="25" t="n">
        <v>46112</v>
      </c>
      <c r="F42" s="26" t="n">
        <v>2450000</v>
      </c>
      <c r="G42" s="10" t="inlineStr">
        <is>
          <t>DS SMITH LTD</t>
        </is>
      </c>
      <c r="H42" s="10" t="inlineStr">
        <is>
          <t>ISSUE CHAPS PAYMENT</t>
        </is>
      </c>
      <c r="I42" s="27" t="inlineStr"/>
      <c r="J42" s="15" t="n"/>
      <c r="K42" s="15" t="n"/>
      <c r="L42" s="15" t="n"/>
      <c r="M42" s="15" t="n"/>
      <c r="N42" s="28" t="n"/>
      <c r="O42" s="15" t="n"/>
      <c r="P42" s="29" t="inlineStr">
        <is>
          <t>Yes</t>
        </is>
      </c>
    </row>
    <row r="43">
      <c r="A43" s="10" t="n">
        <v>39</v>
      </c>
      <c r="B43" s="10" t="inlineStr">
        <is>
          <t>Apr 26</t>
        </is>
      </c>
      <c r="C43" s="25">
        <f>IF($E43="","",DATE(YEAR($E43),MONTH($E43),1))</f>
        <v/>
      </c>
      <c r="D43" s="25">
        <f>IF($E43="","",EOMONTH($E43,0))</f>
        <v/>
      </c>
      <c r="E43" s="25" t="n">
        <v>46113</v>
      </c>
      <c r="F43" s="26" t="n">
        <v>3316944.84</v>
      </c>
      <c r="G43" s="10" t="inlineStr">
        <is>
          <t>SANTANDER SCF</t>
        </is>
      </c>
      <c r="H43" s="10" t="inlineStr">
        <is>
          <t>ISSUE CHAPS PAYMENT</t>
        </is>
      </c>
      <c r="I43" s="27" t="inlineStr"/>
      <c r="J43" s="15" t="n"/>
      <c r="K43" s="15" t="n"/>
      <c r="L43" s="15" t="n"/>
      <c r="M43" s="15" t="n"/>
      <c r="N43" s="28" t="n"/>
      <c r="O43" s="15" t="n"/>
      <c r="P43" s="29" t="inlineStr">
        <is>
          <t>Yes</t>
        </is>
      </c>
    </row>
    <row r="44">
      <c r="A44" s="10" t="n">
        <v>40</v>
      </c>
      <c r="B44" s="10" t="inlineStr">
        <is>
          <t>Apr 26</t>
        </is>
      </c>
      <c r="C44" s="25">
        <f>IF($E44="","",DATE(YEAR($E44),MONTH($E44),1))</f>
        <v/>
      </c>
      <c r="D44" s="25">
        <f>IF($E44="","",EOMONTH($E44,0))</f>
        <v/>
      </c>
      <c r="E44" s="25" t="n">
        <v>46128</v>
      </c>
      <c r="F44" s="26" t="n">
        <v>2611670.69</v>
      </c>
      <c r="G44" s="10" t="inlineStr">
        <is>
          <t>DS SMITH LTD</t>
        </is>
      </c>
      <c r="H44" s="10" t="inlineStr">
        <is>
          <t>ISSUE CHAPS PAYMENT</t>
        </is>
      </c>
      <c r="I44" s="27" t="inlineStr"/>
      <c r="J44" s="15" t="n"/>
      <c r="K44" s="15" t="n"/>
      <c r="L44" s="15" t="n"/>
      <c r="M44" s="15" t="n"/>
      <c r="N44" s="28" t="n"/>
      <c r="O44" s="15" t="n"/>
      <c r="P44" s="29" t="inlineStr">
        <is>
          <t>Yes</t>
        </is>
      </c>
    </row>
    <row r="45">
      <c r="A45" s="10" t="n">
        <v>41</v>
      </c>
      <c r="B45" s="10" t="inlineStr">
        <is>
          <t>Apr 26</t>
        </is>
      </c>
      <c r="C45" s="25">
        <f>IF($E45="","",DATE(YEAR($E45),MONTH($E45),1))</f>
        <v/>
      </c>
      <c r="D45" s="25">
        <f>IF($E45="","",EOMONTH($E45,0))</f>
        <v/>
      </c>
      <c r="E45" s="25" t="n">
        <v>46129</v>
      </c>
      <c r="F45" s="26" t="n">
        <v>4996002.96</v>
      </c>
      <c r="G45" s="10" t="inlineStr"/>
      <c r="H45" s="10" t="inlineStr">
        <is>
          <t>ACH PYMTS - LCL BULK FNDG</t>
        </is>
      </c>
      <c r="I45" s="27" t="inlineStr">
        <is>
          <t>no_named_beneficiary</t>
        </is>
      </c>
      <c r="J45" s="15" t="n"/>
      <c r="K45" s="15" t="n"/>
      <c r="L45" s="15" t="n"/>
      <c r="M45" s="15" t="n"/>
      <c r="N45" s="28" t="n"/>
      <c r="O45" s="15" t="n"/>
      <c r="P45" s="29" t="inlineStr">
        <is>
          <t>Yes</t>
        </is>
      </c>
    </row>
    <row r="46">
      <c r="A46" s="10" t="n">
        <v>42</v>
      </c>
      <c r="B46" s="10" t="inlineStr">
        <is>
          <t>Apr 26</t>
        </is>
      </c>
      <c r="C46" s="25">
        <f>IF($E46="","",DATE(YEAR($E46),MONTH($E46),1))</f>
        <v/>
      </c>
      <c r="D46" s="25">
        <f>IF($E46="","",EOMONTH($E46,0))</f>
        <v/>
      </c>
      <c r="E46" s="25" t="n">
        <v>46135</v>
      </c>
      <c r="F46" s="26" t="n">
        <v>2334786.77</v>
      </c>
      <c r="G46" s="10" t="inlineStr">
        <is>
          <t>DS Smith Paper Limited</t>
        </is>
      </c>
      <c r="H46" s="10" t="inlineStr">
        <is>
          <t>ISSUE CHAPS PAYMENT</t>
        </is>
      </c>
      <c r="I46" s="27" t="inlineStr">
        <is>
          <t>party_whitespace_cleaned</t>
        </is>
      </c>
      <c r="J46" s="15" t="n"/>
      <c r="K46" s="15" t="n"/>
      <c r="L46" s="15" t="n"/>
      <c r="M46" s="15" t="n"/>
      <c r="N46" s="28" t="n"/>
      <c r="O46" s="15" t="n"/>
      <c r="P46" s="29" t="inlineStr">
        <is>
          <t>Yes</t>
        </is>
      </c>
    </row>
    <row r="47">
      <c r="A47" s="10" t="n">
        <v>43</v>
      </c>
      <c r="B47" s="10" t="inlineStr">
        <is>
          <t>Apr 26</t>
        </is>
      </c>
      <c r="C47" s="25">
        <f>IF($E47="","",DATE(YEAR($E47),MONTH($E47),1))</f>
        <v/>
      </c>
      <c r="D47" s="25">
        <f>IF($E47="","",EOMONTH($E47,0))</f>
        <v/>
      </c>
      <c r="E47" s="25" t="n">
        <v>46139</v>
      </c>
      <c r="F47" s="26" t="n">
        <v>2598639.67</v>
      </c>
      <c r="G47" s="10" t="inlineStr">
        <is>
          <t>DS Smith Paper Limited</t>
        </is>
      </c>
      <c r="H47" s="10" t="inlineStr">
        <is>
          <t>ISSUE CHAPS PAYMENT</t>
        </is>
      </c>
      <c r="I47" s="27" t="inlineStr">
        <is>
          <t>party_whitespace_cleaned</t>
        </is>
      </c>
      <c r="J47" s="15" t="n"/>
      <c r="K47" s="15" t="n"/>
      <c r="L47" s="15" t="n"/>
      <c r="M47" s="15" t="n"/>
      <c r="N47" s="28" t="n"/>
      <c r="O47" s="15" t="n"/>
      <c r="P47" s="29" t="inlineStr">
        <is>
          <t>Yes</t>
        </is>
      </c>
    </row>
    <row r="48">
      <c r="A48" s="10" t="n">
        <v>44</v>
      </c>
      <c r="B48" s="10" t="inlineStr">
        <is>
          <t>Apr 26</t>
        </is>
      </c>
      <c r="C48" s="25">
        <f>IF($E48="","",DATE(YEAR($E48),MONTH($E48),1))</f>
        <v/>
      </c>
      <c r="D48" s="25">
        <f>IF($E48="","",EOMONTH($E48,0))</f>
        <v/>
      </c>
      <c r="E48" s="25" t="n">
        <v>46142</v>
      </c>
      <c r="F48" s="26" t="n">
        <v>2450000</v>
      </c>
      <c r="G48" s="10" t="inlineStr">
        <is>
          <t>DS SMITH LTD</t>
        </is>
      </c>
      <c r="H48" s="10" t="inlineStr">
        <is>
          <t>ISSUE CHAPS PAYMENT</t>
        </is>
      </c>
      <c r="I48" s="27" t="inlineStr"/>
      <c r="J48" s="15" t="n"/>
      <c r="K48" s="15" t="n"/>
      <c r="L48" s="15" t="n"/>
      <c r="M48" s="15" t="n"/>
      <c r="N48" s="28" t="n"/>
      <c r="O48" s="15" t="n"/>
      <c r="P48" s="29" t="inlineStr">
        <is>
          <t>Yes</t>
        </is>
      </c>
    </row>
    <row r="49">
      <c r="A49" s="10" t="n">
        <v>45</v>
      </c>
      <c r="B49" s="10" t="inlineStr">
        <is>
          <t>Apr 26</t>
        </is>
      </c>
      <c r="C49" s="25">
        <f>IF($E49="","",DATE(YEAR($E49),MONTH($E49),1))</f>
        <v/>
      </c>
      <c r="D49" s="25">
        <f>IF($E49="","",EOMONTH($E49,0))</f>
        <v/>
      </c>
      <c r="E49" s="25" t="n">
        <v>46142</v>
      </c>
      <c r="F49" s="26" t="n">
        <v>3232025.51</v>
      </c>
      <c r="G49" s="10" t="inlineStr">
        <is>
          <t>DS Smith Paper Limited</t>
        </is>
      </c>
      <c r="H49" s="10" t="inlineStr">
        <is>
          <t>ISSUE CHAPS PAYMENT</t>
        </is>
      </c>
      <c r="I49" s="27" t="inlineStr">
        <is>
          <t>party_whitespace_cleaned</t>
        </is>
      </c>
      <c r="J49" s="15" t="n"/>
      <c r="K49" s="15" t="n"/>
      <c r="L49" s="15" t="n"/>
      <c r="M49" s="15" t="n"/>
      <c r="N49" s="28" t="n"/>
      <c r="O49" s="15" t="n"/>
      <c r="P49" s="29" t="inlineStr">
        <is>
          <t>Yes</t>
        </is>
      </c>
    </row>
    <row r="50">
      <c r="A50" s="10" t="n">
        <v>46</v>
      </c>
      <c r="B50" s="10" t="inlineStr">
        <is>
          <t>May 26</t>
        </is>
      </c>
      <c r="C50" s="25">
        <f>IF($E50="","",DATE(YEAR($E50),MONTH($E50),1))</f>
        <v/>
      </c>
      <c r="D50" s="25">
        <f>IF($E50="","",EOMONTH($E50,0))</f>
        <v/>
      </c>
      <c r="E50" s="25" t="n">
        <v>46147</v>
      </c>
      <c r="F50" s="26" t="n">
        <v>3723586.74</v>
      </c>
      <c r="G50" s="10" t="inlineStr">
        <is>
          <t>SANTANDER SCF</t>
        </is>
      </c>
      <c r="H50" s="10" t="inlineStr">
        <is>
          <t>ISSUE CHAPS PAYMENT</t>
        </is>
      </c>
      <c r="I50" s="27" t="inlineStr"/>
      <c r="J50" s="15" t="n"/>
      <c r="K50" s="15" t="n"/>
      <c r="L50" s="15" t="n"/>
      <c r="M50" s="15" t="n"/>
      <c r="N50" s="28" t="n"/>
      <c r="O50" s="15" t="n"/>
      <c r="P50" s="29" t="inlineStr">
        <is>
          <t>Yes</t>
        </is>
      </c>
    </row>
    <row r="51">
      <c r="A51" s="10" t="n">
        <v>47</v>
      </c>
      <c r="B51" s="10" t="inlineStr">
        <is>
          <t>May 26</t>
        </is>
      </c>
      <c r="C51" s="25">
        <f>IF($E51="","",DATE(YEAR($E51),MONTH($E51),1))</f>
        <v/>
      </c>
      <c r="D51" s="25">
        <f>IF($E51="","",EOMONTH($E51,0))</f>
        <v/>
      </c>
      <c r="E51" s="25" t="n">
        <v>46150</v>
      </c>
      <c r="F51" s="26" t="n">
        <v>5009315.83</v>
      </c>
      <c r="G51" s="10" t="inlineStr"/>
      <c r="H51" s="10" t="inlineStr">
        <is>
          <t>ACH PYMTS - LCL BULK FNDG</t>
        </is>
      </c>
      <c r="I51" s="27" t="inlineStr">
        <is>
          <t>ref_whitespace_cleaned; no_named_beneficiary</t>
        </is>
      </c>
      <c r="J51" s="15" t="n"/>
      <c r="K51" s="15" t="n"/>
      <c r="L51" s="15" t="n"/>
      <c r="M51" s="15" t="n"/>
      <c r="N51" s="28" t="n"/>
      <c r="O51" s="15" t="n"/>
      <c r="P51" s="29" t="inlineStr">
        <is>
          <t>Yes</t>
        </is>
      </c>
    </row>
    <row r="52">
      <c r="A52" s="10" t="n">
        <v>48</v>
      </c>
      <c r="B52" s="10" t="inlineStr">
        <is>
          <t>May 26</t>
        </is>
      </c>
      <c r="C52" s="25">
        <f>IF($E52="","",DATE(YEAR($E52),MONTH($E52),1))</f>
        <v/>
      </c>
      <c r="D52" s="25">
        <f>IF($E52="","",EOMONTH($E52,0))</f>
        <v/>
      </c>
      <c r="E52" s="25" t="n">
        <v>46157</v>
      </c>
      <c r="F52" s="26" t="n">
        <v>4340970.4</v>
      </c>
      <c r="G52" s="10" t="inlineStr"/>
      <c r="H52" s="10" t="inlineStr">
        <is>
          <t>ACH PYMTS - LCL BULK FNDG</t>
        </is>
      </c>
      <c r="I52" s="27" t="inlineStr">
        <is>
          <t>ref_whitespace_cleaned; no_named_beneficiary</t>
        </is>
      </c>
      <c r="J52" s="15" t="n"/>
      <c r="K52" s="15" t="n"/>
      <c r="L52" s="15" t="n"/>
      <c r="M52" s="15" t="n"/>
      <c r="N52" s="28" t="n"/>
      <c r="O52" s="15" t="n"/>
      <c r="P52" s="29" t="inlineStr">
        <is>
          <t>Yes</t>
        </is>
      </c>
    </row>
    <row r="53">
      <c r="A53" s="10" t="n">
        <v>49</v>
      </c>
      <c r="B53" s="10" t="inlineStr">
        <is>
          <t>May 26</t>
        </is>
      </c>
      <c r="C53" s="25">
        <f>IF($E53="","",DATE(YEAR($E53),MONTH($E53),1))</f>
        <v/>
      </c>
      <c r="D53" s="25">
        <f>IF($E53="","",EOMONTH($E53,0))</f>
        <v/>
      </c>
      <c r="E53" s="25" t="n">
        <v>46170</v>
      </c>
      <c r="F53" s="26" t="n">
        <v>2400509.91</v>
      </c>
      <c r="G53" s="10" t="inlineStr">
        <is>
          <t>DS Smith Paper Limited</t>
        </is>
      </c>
      <c r="H53" s="10" t="inlineStr">
        <is>
          <t>ISSUE CHAPS PAYMENT</t>
        </is>
      </c>
      <c r="I53" s="27" t="inlineStr">
        <is>
          <t>party_whitespace_cleaned</t>
        </is>
      </c>
      <c r="J53" s="15" t="n"/>
      <c r="K53" s="15" t="n"/>
      <c r="L53" s="15" t="n"/>
      <c r="M53" s="15" t="n"/>
      <c r="N53" s="28" t="n"/>
      <c r="O53" s="15" t="n"/>
      <c r="P53" s="29" t="inlineStr">
        <is>
          <t>Yes</t>
        </is>
      </c>
    </row>
    <row r="54">
      <c r="A54" s="10" t="n">
        <v>50</v>
      </c>
      <c r="B54" s="10" t="inlineStr">
        <is>
          <t>May 26</t>
        </is>
      </c>
      <c r="C54" s="25">
        <f>IF($E54="","",DATE(YEAR($E54),MONTH($E54),1))</f>
        <v/>
      </c>
      <c r="D54" s="25">
        <f>IF($E54="","",EOMONTH($E54,0))</f>
        <v/>
      </c>
      <c r="E54" s="25" t="n">
        <v>46171</v>
      </c>
      <c r="F54" s="26" t="n">
        <v>3444449.93</v>
      </c>
      <c r="G54" s="10" t="inlineStr">
        <is>
          <t>DS Smith Paper Limited</t>
        </is>
      </c>
      <c r="H54" s="10" t="inlineStr">
        <is>
          <t>ISSUE CHAPS PAYMENT</t>
        </is>
      </c>
      <c r="I54" s="27" t="inlineStr">
        <is>
          <t>party_whitespace_cleaned</t>
        </is>
      </c>
      <c r="J54" s="15" t="n"/>
      <c r="K54" s="15" t="n"/>
      <c r="L54" s="15" t="n"/>
      <c r="M54" s="15" t="n"/>
      <c r="N54" s="28" t="n"/>
      <c r="O54" s="15" t="n"/>
      <c r="P54" s="29" t="inlineStr">
        <is>
          <t>Yes</t>
        </is>
      </c>
    </row>
    <row r="55">
      <c r="A55" s="10" t="n">
        <v>51</v>
      </c>
      <c r="B55" s="10" t="inlineStr">
        <is>
          <t>May 26</t>
        </is>
      </c>
      <c r="C55" s="25">
        <f>IF($E55="","",DATE(YEAR($E55),MONTH($E55),1))</f>
        <v/>
      </c>
      <c r="D55" s="25">
        <f>IF($E55="","",EOMONTH($E55,0))</f>
        <v/>
      </c>
      <c r="E55" s="25" t="n">
        <v>46171</v>
      </c>
      <c r="F55" s="26" t="n">
        <v>2450000</v>
      </c>
      <c r="G55" s="10" t="inlineStr">
        <is>
          <t>DS SMITH LTD</t>
        </is>
      </c>
      <c r="H55" s="10" t="inlineStr">
        <is>
          <t>ISSUE CHAPS PAYMENT</t>
        </is>
      </c>
      <c r="I55" s="27" t="inlineStr"/>
      <c r="J55" s="15" t="n"/>
      <c r="K55" s="15" t="n"/>
      <c r="L55" s="15" t="n"/>
      <c r="M55" s="15" t="n"/>
      <c r="N55" s="28" t="n"/>
      <c r="O55" s="15" t="n"/>
      <c r="P55" s="29" t="inlineStr">
        <is>
          <t>Yes</t>
        </is>
      </c>
    </row>
    <row r="56">
      <c r="A56" s="10" t="n">
        <v>52</v>
      </c>
      <c r="B56" s="10" t="inlineStr">
        <is>
          <t>Jun 26</t>
        </is>
      </c>
      <c r="C56" s="25">
        <f>IF($E56="","",DATE(YEAR($E56),MONTH($E56),1))</f>
        <v/>
      </c>
      <c r="D56" s="25">
        <f>IF($E56="","",EOMONTH($E56,0))</f>
        <v/>
      </c>
      <c r="E56" s="25" t="n">
        <v>46176</v>
      </c>
      <c r="F56" s="26" t="n">
        <v>5210470.59</v>
      </c>
      <c r="G56" s="10" t="inlineStr"/>
      <c r="H56" s="10" t="inlineStr">
        <is>
          <t>ACH PYMTS - LCL BULK FNDG</t>
        </is>
      </c>
      <c r="I56" s="27" t="inlineStr">
        <is>
          <t>ref_typo_corrected_from:ACH PYMTS - LCL BULK FNG; no_named_beneficiary</t>
        </is>
      </c>
      <c r="J56" s="15" t="n"/>
      <c r="K56" s="15" t="n"/>
      <c r="L56" s="15" t="n"/>
      <c r="M56" s="15" t="n"/>
      <c r="N56" s="28" t="n"/>
      <c r="O56" s="15" t="n"/>
      <c r="P56" s="29" t="inlineStr">
        <is>
          <t>Yes</t>
        </is>
      </c>
    </row>
    <row r="57">
      <c r="A57" s="10" t="n">
        <v>53</v>
      </c>
      <c r="B57" s="10" t="inlineStr">
        <is>
          <t>Jun 26</t>
        </is>
      </c>
      <c r="C57" s="25">
        <f>IF($E57="","",DATE(YEAR($E57),MONTH($E57),1))</f>
        <v/>
      </c>
      <c r="D57" s="25">
        <f>IF($E57="","",EOMONTH($E57,0))</f>
        <v/>
      </c>
      <c r="E57" s="25" t="n">
        <v>46177</v>
      </c>
      <c r="F57" s="26" t="n">
        <v>4006482.03</v>
      </c>
      <c r="G57" s="10" t="inlineStr">
        <is>
          <t>SANTANDER SCF</t>
        </is>
      </c>
      <c r="H57" s="10" t="inlineStr">
        <is>
          <t>ISSUE CHAPS PAYMENT</t>
        </is>
      </c>
      <c r="I57" s="27" t="inlineStr"/>
      <c r="J57" s="15" t="n"/>
      <c r="K57" s="15" t="n"/>
      <c r="L57" s="15" t="n"/>
      <c r="M57" s="15" t="n"/>
      <c r="N57" s="28" t="n"/>
      <c r="O57" s="15" t="n"/>
      <c r="P57" s="29" t="inlineStr">
        <is>
          <t>Yes</t>
        </is>
      </c>
    </row>
    <row r="58">
      <c r="A58" s="10" t="n">
        <v>54</v>
      </c>
      <c r="B58" s="10" t="inlineStr">
        <is>
          <t>Jun 26</t>
        </is>
      </c>
      <c r="C58" s="25">
        <f>IF($E58="","",DATE(YEAR($E58),MONTH($E58),1))</f>
        <v/>
      </c>
      <c r="D58" s="25">
        <f>IF($E58="","",EOMONTH($E58,0))</f>
        <v/>
      </c>
      <c r="E58" s="25" t="n">
        <v>46184</v>
      </c>
      <c r="F58" s="26" t="n">
        <v>6226088.99</v>
      </c>
      <c r="G58" s="10" t="inlineStr"/>
      <c r="H58" s="10" t="inlineStr">
        <is>
          <t>ACH PYMTS - LCL BULK FNDG</t>
        </is>
      </c>
      <c r="I58" s="27" t="inlineStr">
        <is>
          <t>no_named_beneficiary</t>
        </is>
      </c>
      <c r="J58" s="15" t="n"/>
      <c r="K58" s="15" t="n"/>
      <c r="L58" s="15" t="n"/>
      <c r="M58" s="15" t="n"/>
      <c r="N58" s="28" t="n"/>
      <c r="O58" s="15" t="n"/>
      <c r="P58" s="29" t="inlineStr">
        <is>
          <t>Yes</t>
        </is>
      </c>
    </row>
    <row r="59">
      <c r="A59" s="10" t="n">
        <v>55</v>
      </c>
      <c r="B59" s="10" t="inlineStr">
        <is>
          <t>Jun 26</t>
        </is>
      </c>
      <c r="C59" s="25">
        <f>IF($E59="","",DATE(YEAR($E59),MONTH($E59),1))</f>
        <v/>
      </c>
      <c r="D59" s="25">
        <f>IF($E59="","",EOMONTH($E59,0))</f>
        <v/>
      </c>
      <c r="E59" s="25" t="n">
        <v>46185</v>
      </c>
      <c r="F59" s="26" t="n">
        <v>2292348.71</v>
      </c>
      <c r="G59" s="10" t="inlineStr">
        <is>
          <t>DS Smith Paper Limited</t>
        </is>
      </c>
      <c r="H59" s="10" t="inlineStr">
        <is>
          <t>ISSUE CHAPS PAYMENT</t>
        </is>
      </c>
      <c r="I59" s="27" t="inlineStr">
        <is>
          <t>party_whitespace_cleaned</t>
        </is>
      </c>
      <c r="J59" s="15" t="n"/>
      <c r="K59" s="15" t="n"/>
      <c r="L59" s="15" t="n"/>
      <c r="M59" s="15" t="n"/>
      <c r="N59" s="28" t="n"/>
      <c r="O59" s="15" t="n"/>
      <c r="P59" s="29" t="inlineStr">
        <is>
          <t>Yes</t>
        </is>
      </c>
    </row>
    <row r="60">
      <c r="A60" s="10" t="n">
        <v>56</v>
      </c>
      <c r="B60" s="10" t="inlineStr">
        <is>
          <t>Jun 26</t>
        </is>
      </c>
      <c r="C60" s="25">
        <f>IF($E60="","",DATE(YEAR($E60),MONTH($E60),1))</f>
        <v/>
      </c>
      <c r="D60" s="25">
        <f>IF($E60="","",EOMONTH($E60,0))</f>
        <v/>
      </c>
      <c r="E60" s="25" t="n">
        <v>46202</v>
      </c>
      <c r="F60" s="26" t="n">
        <v>2782960.69</v>
      </c>
      <c r="G60" s="10" t="inlineStr">
        <is>
          <t>DS Smith Paper Limited</t>
        </is>
      </c>
      <c r="H60" s="10" t="inlineStr">
        <is>
          <t>ISSUE CHAPS PAYMENT</t>
        </is>
      </c>
      <c r="I60" s="27" t="inlineStr">
        <is>
          <t>party_whitespace_cleaned</t>
        </is>
      </c>
      <c r="J60" s="15" t="n"/>
      <c r="K60" s="15" t="n"/>
      <c r="L60" s="15" t="n"/>
      <c r="M60" s="15" t="n"/>
      <c r="N60" s="28" t="n"/>
      <c r="O60" s="15" t="n"/>
      <c r="P60" s="29" t="inlineStr">
        <is>
          <t>Yes</t>
        </is>
      </c>
    </row>
    <row r="61">
      <c r="E61" s="30" t="inlineStr">
        <is>
          <t>Total</t>
        </is>
      </c>
      <c r="F61" s="31">
        <f>SUM(F5:F60)</f>
        <v/>
      </c>
      <c r="G61" s="2" t="inlineStr">
        <is>
          <t>56 samples</t>
        </is>
      </c>
    </row>
  </sheetData>
  <autoFilter ref="A4:P60"/>
  <mergeCells count="1">
    <mergeCell ref="A3:I3"/>
  </mergeCells>
  <dataValidations count="1">
    <dataValidation sqref="P5:P60"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7F7F7F"/>
    <outlinePr summaryBelow="1" summaryRight="1"/>
    <pageSetUpPr/>
  </sheetPr>
  <dimension ref="A2:J5"/>
  <sheetViews>
    <sheetView workbookViewId="0">
      <pane ySplit="4" topLeftCell="A5" activePane="bottomLeft" state="frozen"/>
      <selection pane="bottomLeft" activeCell="A1" sqref="A1"/>
    </sheetView>
  </sheetViews>
  <sheetFormatPr baseColWidth="8" defaultRowHeight="15"/>
  <cols>
    <col width="19" customWidth="1" min="1" max="1"/>
    <col width="9" customWidth="1" min="2" max="2"/>
    <col width="9" customWidth="1" min="3" max="3"/>
    <col width="8" customWidth="1" min="4" max="4"/>
    <col width="13" customWidth="1" min="5" max="5"/>
    <col width="12" customWidth="1" min="6" max="6"/>
    <col width="30" customWidth="1" min="7" max="7"/>
    <col width="62" customWidth="1" min="8" max="8"/>
    <col width="11" customWidth="1" min="9" max="9"/>
    <col width="58" customWidth="1" min="10" max="10"/>
  </cols>
  <sheetData>
    <row r="2">
      <c r="A2" s="1" t="inlineStr">
        <is>
          <t>Audit trail</t>
        </is>
      </c>
    </row>
    <row r="3">
      <c r="A3" s="2" t="inlineStr">
        <is>
          <t>Appended by the macro, one row per action, in DRY RUN as well as EXTRACT. Keep this sheet with the extract -- it is the record of who pulled what, from which system, and when.</t>
        </is>
      </c>
    </row>
    <row r="4">
      <c r="A4" s="17" t="inlineStr">
        <is>
          <t>Timestamp</t>
        </is>
      </c>
      <c r="B4" s="17" t="inlineStr">
        <is>
          <t>Sample #</t>
        </is>
      </c>
      <c r="C4" s="17" t="inlineStr">
        <is>
          <t>SAP SID</t>
        </is>
      </c>
      <c r="D4" s="17" t="inlineStr">
        <is>
          <t>Client</t>
        </is>
      </c>
      <c r="E4" s="17" t="inlineStr">
        <is>
          <t>SAP user</t>
        </is>
      </c>
      <c r="F4" s="17" t="inlineStr">
        <is>
          <t>Transaction</t>
        </is>
      </c>
      <c r="G4" s="17" t="inlineStr">
        <is>
          <t>Action</t>
        </is>
      </c>
      <c r="H4" s="17" t="inlineStr">
        <is>
          <t>Detail</t>
        </is>
      </c>
      <c r="I4" s="17" t="inlineStr">
        <is>
          <t>Result</t>
        </is>
      </c>
      <c r="J4" s="17" t="inlineStr">
        <is>
          <t>File written</t>
        </is>
      </c>
    </row>
    <row r="5"/>
  </sheetData>
  <mergeCells count="1">
    <mergeCell ref="A3:J3"/>
  </mergeCells>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2:E17"/>
  <sheetViews>
    <sheetView workbookViewId="0">
      <pane ySplit="5" topLeftCell="A6" activePane="bottomLeft" state="frozen"/>
      <selection pane="bottomLeft" activeCell="A1" sqref="A1"/>
    </sheetView>
  </sheetViews>
  <sheetFormatPr baseColWidth="8" defaultRowHeight="15"/>
  <cols>
    <col width="3" customWidth="1" min="1" max="1"/>
    <col width="52" customWidth="1" min="2" max="2"/>
    <col width="9" customWidth="1" min="3" max="3"/>
    <col width="30" customWidth="1" min="4" max="4"/>
    <col width="74" customWidth="1" min="5" max="5"/>
  </cols>
  <sheetData>
    <row r="2">
      <c r="B2" s="1" t="inlineStr">
        <is>
          <t>Data-quality flags in the auditor's request</t>
        </is>
      </c>
    </row>
    <row r="3">
      <c r="B3" s="2" t="inlineStr">
        <is>
          <t>Raised while reading 'Paper Samples'. Nothing here blocks the extract, but the starred rows are worth raising with the auditor before you send anything back.</t>
        </is>
      </c>
    </row>
    <row r="5">
      <c r="A5" s="17" t="n"/>
      <c r="B5" s="17" t="inlineStr">
        <is>
          <t>Flag</t>
        </is>
      </c>
      <c r="C5" s="17" t="inlineStr">
        <is>
          <t>Count</t>
        </is>
      </c>
      <c r="D5" s="17" t="inlineStr">
        <is>
          <t>Sample #</t>
        </is>
      </c>
      <c r="E5" s="17" t="inlineStr">
        <is>
          <t>What it means</t>
        </is>
      </c>
    </row>
    <row r="6" ht="34" customHeight="1">
      <c r="B6" s="10" t="inlineStr">
        <is>
          <t>party_whitespace_cleaned</t>
        </is>
      </c>
      <c r="C6" s="22" t="n">
        <v>27</v>
      </c>
      <c r="D6" s="32" t="inlineStr">
        <is>
          <t>5, 6, 7, 8, 12, 13, 14, 15, 19, 20, 21, 22, ... (+15 more)</t>
        </is>
      </c>
      <c r="E6" s="12" t="inlineStr">
        <is>
          <t>Leading, trailing or doubled spaces removed from the party name.</t>
        </is>
      </c>
    </row>
    <row r="7" ht="34" customHeight="1">
      <c r="B7" s="10" t="inlineStr">
        <is>
          <t>ref_whitespace_cleaned</t>
        </is>
      </c>
      <c r="C7" s="22" t="n">
        <v>26</v>
      </c>
      <c r="D7" s="32" t="inlineStr">
        <is>
          <t>1, 2, 3, 4, 5, 7, 8, 9, 10, 11, 17, 18, ... (+14 more)</t>
        </is>
      </c>
      <c r="E7" s="12" t="inlineStr">
        <is>
          <t>Leading or trailing spaces removed from the payment reference.</t>
        </is>
      </c>
    </row>
    <row r="8" ht="34" customHeight="1">
      <c r="B8" s="10" t="inlineStr">
        <is>
          <t>no_named_beneficiary</t>
        </is>
      </c>
      <c r="C8" s="22" t="n">
        <v>18</v>
      </c>
      <c r="D8" s="32" t="inlineStr">
        <is>
          <t>1, 3, 4, 9, 10, 11, 17, 18, 25, 26, 31, 35, ... (+6 more)</t>
        </is>
      </c>
      <c r="E8" s="12" t="inlineStr">
        <is>
          <t>The request shows '-' as the party. These are the lines the auditor's 'Payment to Supplier?' question actually turns on, since the bank statement alone does not name a payee.</t>
        </is>
      </c>
    </row>
    <row r="9" ht="34" customHeight="1">
      <c r="B9" s="10" t="inlineStr">
        <is>
          <t>date_stored_as_text</t>
        </is>
      </c>
      <c r="C9" s="22" t="n">
        <v>3</v>
      </c>
      <c r="D9" s="32" t="inlineStr">
        <is>
          <t>12, 20, 27</t>
        </is>
      </c>
      <c r="E9" s="12" t="inlineStr">
        <is>
          <t>The payment date was typed as text, not a date. Normalised on extract; the auditor's own file still holds text.</t>
        </is>
      </c>
    </row>
    <row r="10" ht="34" customHeight="1">
      <c r="B10" s="10" t="inlineStr">
        <is>
          <t>ref_holds_a_party_name_not_a_transaction_description</t>
        </is>
      </c>
      <c r="C10" s="22" t="n">
        <v>1</v>
      </c>
      <c r="D10" s="32" t="inlineStr">
        <is>
          <t>37</t>
        </is>
      </c>
      <c r="E10" s="12" t="inlineStr">
        <is>
          <t>The payment-reference cell contains a party name. Confirm the intended transaction description with the auditor before searching on it.</t>
        </is>
      </c>
    </row>
    <row r="11" ht="34" customHeight="1">
      <c r="B11" s="10" t="inlineStr">
        <is>
          <t>ref_typo_corrected_from:ACH PYMTS - LCL BULK FNG</t>
        </is>
      </c>
      <c r="C11" s="22" t="n">
        <v>1</v>
      </c>
      <c r="D11" s="32" t="inlineStr">
        <is>
          <t>52</t>
        </is>
      </c>
      <c r="E11" s="12" t="inlineStr">
        <is>
          <t>Transaction description misspelt ('FNG' for 'FNDG'). Corrected on extract.</t>
        </is>
      </c>
    </row>
    <row r="13">
      <c r="B13" s="3" t="inlineStr">
        <is>
          <t>Findings outside the sample rows</t>
        </is>
      </c>
    </row>
    <row r="14" ht="42" customHeight="1">
      <c r="B14" s="30" t="inlineStr">
        <is>
          <t>*</t>
        </is>
      </c>
      <c r="C14" s="16" t="inlineStr">
        <is>
          <t>The auditor's month tabs already hold 55 pasted bank-statement screenshots, one per sample -- so the bank side of the evidence is done and the SAP side is what is missing.</t>
        </is>
      </c>
    </row>
    <row r="15" ht="42" customHeight="1">
      <c r="B15" s="30" t="inlineStr">
        <is>
          <t>*</t>
        </is>
      </c>
      <c r="C15" s="16" t="inlineStr">
        <is>
          <t>'Oct 25' holds 8 sample rows but only 7 screenshots, so one October line has no bank evidence attached. Worth confirming with the auditor which line.</t>
        </is>
      </c>
    </row>
    <row r="16" ht="42" customHeight="1">
      <c r="B16" s="30" t="inlineStr">
        <is>
          <t>*</t>
        </is>
      </c>
      <c r="C16" s="16" t="inlineStr">
        <is>
          <t>One October screenshot is for account 12343649 / IBAN GB49CITI18500812343649 in EUR, where every other screenshot is account 12343657 / GB27CITI18500812343657 in GBP. Either a second account is in scope or a screenshot was mis-pasted.</t>
        </is>
      </c>
    </row>
    <row r="17" ht="42" customHeight="1">
      <c r="B17" s="30" t="inlineStr">
        <is>
          <t>*</t>
        </is>
      </c>
      <c r="C17" s="16" t="inlineStr">
        <is>
          <t>Column G of 'Paper Samples', 'Payment to Supplier?', is blank on all 56 rows. That is the column this extract exists to let you answer.</t>
        </is>
      </c>
    </row>
  </sheetData>
  <mergeCells count="5">
    <mergeCell ref="C16:E16"/>
    <mergeCell ref="C14:E14"/>
    <mergeCell ref="C17:E17"/>
    <mergeCell ref="B3:E3"/>
    <mergeCell ref="C15:E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2026-07-30T16:05:40Z</dcterms:created>
  <dcterms:modified xsi:type="dcterms:W3CDTF">2026-07-30T16:05:40Z</dcterms:modified>
</cp:coreProperties>
</file>