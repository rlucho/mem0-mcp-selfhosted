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64"/>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Both modes run the WHOLE chain and write the same files -- the exports are read-only on the SAP side, and the chain reads them back, so it cannot run without them. The only difference is where they land: DRY RUN puts everything under a '_dry run' subfolder of the download root, so a rehearsal is never mistaken for the evidence pack. Do one clean DRY RUN, read the Log, then switch.</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Payment document type</t>
        </is>
      </c>
      <c r="C26" s="11" t="inlineStr">
        <is>
          <t>ZP</t>
        </is>
      </c>
      <c r="D26" s="12" t="inlineStr">
        <is>
          <t>Only documents of these types are taken from the Payment Usage list and fed to FBL1N. ZP is the SAP standard for a payment document. Takes a comma-separated list -- 'ZP, ZV, KZ' -- for batches paid outside the normal payment run. When nothing matches, the Log names the types the file actually held.</t>
        </is>
      </c>
    </row>
    <row r="27">
      <c r="B27" s="10" t="inlineStr">
        <is>
          <t>Clearing line posting key</t>
        </is>
      </c>
      <c r="C27" s="11" t="inlineStr">
        <is>
          <t>40</t>
        </is>
      </c>
      <c r="D27" s="12" t="inlineStr">
        <is>
          <t>Step 4 opens the first line-item row with this posting key that also carries a clearing document. Blank means 'any row with a clearing document'.</t>
        </is>
      </c>
    </row>
    <row r="28">
      <c r="B28" s="10" t="inlineStr">
        <is>
          <t>Payment usage document column</t>
        </is>
      </c>
      <c r="C28" s="11" t="inlineStr"/>
      <c r="D28" s="12" t="inlineStr">
        <is>
          <t>Caption of the document-number column in the exported Payment Usage list, if the macro cannot find it. Open the first exported file and copy the heading exactly.</t>
        </is>
      </c>
    </row>
    <row r="29">
      <c r="B29" s="10" t="inlineStr">
        <is>
          <t>Payment usage type column</t>
        </is>
      </c>
      <c r="C29" s="11" t="inlineStr"/>
      <c r="D29" s="12" t="inlineStr">
        <is>
          <t>Caption of the document-type column in that same file. Without it every document is taken rather than only the ZP ones, and the Log says so.</t>
        </is>
      </c>
    </row>
    <row r="30">
      <c r="B30" s="10" t="inlineStr">
        <is>
          <t>ZP list amount column</t>
        </is>
      </c>
      <c r="C30" s="11" t="inlineStr"/>
      <c r="D30"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1">
      <c r="B31" s="10" t="inlineStr">
        <is>
          <t>ZP list vendor column</t>
        </is>
      </c>
      <c r="C31" s="11" t="inlineStr"/>
      <c r="D31" s="12" t="inlineStr">
        <is>
          <t>Caption of the vendor-name column in that same file. Same rules.</t>
        </is>
      </c>
    </row>
    <row r="32">
      <c r="B32" s="10" t="inlineStr">
        <is>
          <t>ZP list document column</t>
        </is>
      </c>
      <c r="C32" s="11" t="inlineStr"/>
      <c r="D32" s="12" t="inlineStr">
        <is>
          <t>Caption of the document-number column in that same file. Same rules.</t>
        </is>
      </c>
    </row>
    <row r="33">
      <c r="B33" s="10" t="inlineStr">
        <is>
          <t>Invoice document type</t>
        </is>
      </c>
      <c r="C33" s="11" t="inlineStr">
        <is>
          <t>KR, RN</t>
        </is>
      </c>
      <c r="D33" s="12" t="inlineStr">
        <is>
          <t>CROSS-CHECK ONLY -- this no longer decides anything. The invoice is picked by SIGN: in a vendor line-item list the payment is a debit and the invoice it settles is a credit, so the invoice is the negative row and the biggest invoice is the most negative one. That holds whatever the type is called in this company code, which matters because it is RN here and KR on the SAP standard. If the row picked is not one of the types listed, the Log says so and takes it anyway. Blank to switch the cross-check off.</t>
        </is>
      </c>
    </row>
    <row r="34">
      <c r="B34" s="10" t="inlineStr">
        <is>
          <t>Invoice list amount column</t>
        </is>
      </c>
      <c r="C34" s="11" t="inlineStr"/>
      <c r="D34" s="12" t="inlineStr">
        <is>
          <t>Santander SCF route only. Caption of the amount column in the exported list of invoices behind an SCF payment. Blank falls back to a built-in list of captions.</t>
        </is>
      </c>
    </row>
    <row r="35">
      <c r="B35" s="10" t="inlineStr">
        <is>
          <t>Invoice list supplier column</t>
        </is>
      </c>
      <c r="C35" s="11" t="inlineStr"/>
      <c r="D35" s="12" t="inlineStr">
        <is>
          <t>Caption of the supplier column in that same file.</t>
        </is>
      </c>
    </row>
    <row r="36">
      <c r="B36" s="10" t="inlineStr">
        <is>
          <t>Invoice list document column</t>
        </is>
      </c>
      <c r="C36" s="11" t="inlineStr"/>
      <c r="D36" s="12" t="inlineStr">
        <is>
          <t>Caption of the invoice-number column in that same file.</t>
        </is>
      </c>
    </row>
    <row r="37">
      <c r="B37" s="10" t="inlineStr">
        <is>
          <t>Extra popup titles to allow</t>
        </is>
      </c>
      <c r="C37" s="11" t="inlineStr"/>
      <c r="D37"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38">
      <c r="B38" s="10" t="inlineStr">
        <is>
          <t>Operator name</t>
        </is>
      </c>
      <c r="C38" s="11" t="inlineStr"/>
      <c r="D38" s="12" t="inlineStr">
        <is>
          <t>Written into the log for the audit trail.</t>
        </is>
      </c>
    </row>
    <row r="41">
      <c r="B41" s="3" t="inlineStr">
        <is>
          <t>Progress (formulas over the Samples sheet)</t>
        </is>
      </c>
    </row>
    <row r="42">
      <c r="B42" s="14" t="inlineStr">
        <is>
          <t>Samples in the sheet</t>
        </is>
      </c>
      <c r="C42" s="15">
        <f>COUNTA(Samples!A5:A1000)</f>
        <v/>
      </c>
    </row>
    <row r="43">
      <c r="B43" s="14" t="inlineStr">
        <is>
          <t>Included in the next run</t>
        </is>
      </c>
      <c r="C43" s="15">
        <f>COUNTIF(Samples!P5:P1000,"Yes")+COUNTBLANK(Samples!P5:P60)</f>
        <v/>
      </c>
    </row>
    <row r="44">
      <c r="B44" s="14" t="inlineStr">
        <is>
          <t>Excluded</t>
        </is>
      </c>
      <c r="C44" s="15">
        <f>COUNTIF(Samples!P5:P1000,"No")</f>
        <v/>
      </c>
    </row>
    <row r="45">
      <c r="B45" s="14" t="inlineStr">
        <is>
          <t>DONE -- invoice downloaded</t>
        </is>
      </c>
      <c r="C45" s="15">
        <f>COUNTIF(Samples!J5:J1000,"DONE")</f>
        <v/>
      </c>
    </row>
    <row r="46">
      <c r="B46" s="14" t="inlineStr">
        <is>
          <t>BLOCKED_FBL1N -- steps 8-9 not mapped yet</t>
        </is>
      </c>
      <c r="C46" s="15">
        <f>COUNTIF(Samples!J5:J1000,"BLOCKED_FBL1N")</f>
        <v/>
      </c>
    </row>
    <row r="47">
      <c r="B47" s="14" t="inlineStr">
        <is>
          <t>BLOCKED_INVOICE -- reached the payment, no PDF</t>
        </is>
      </c>
      <c r="C47" s="15">
        <f>COUNTIF(Samples!J5:J1000,"BLOCKED_INVOICE")</f>
        <v/>
      </c>
    </row>
    <row r="48">
      <c r="B48" s="14" t="inlineStr">
        <is>
          <t>PARTIAL -- traced, no invoice file</t>
        </is>
      </c>
      <c r="C48" s="15">
        <f>COUNTIF(Samples!J5:J1000,"PARTIAL")</f>
        <v/>
      </c>
    </row>
    <row r="49">
      <c r="B49" s="14" t="inlineStr">
        <is>
          <t>NO CLEARING -- internal transfer, line items exported</t>
        </is>
      </c>
      <c r="C49" s="15">
        <f>COUNTIF(Samples!J5:J1000,"NO CLEARING")</f>
        <v/>
      </c>
    </row>
    <row r="50">
      <c r="B50" s="14" t="inlineStr">
        <is>
          <t>NOT FOUND -- no matching statement line</t>
        </is>
      </c>
      <c r="C50" s="15">
        <f>COUNTIF(Samples!J5:J1000,"NOT FOUND")</f>
        <v/>
      </c>
    </row>
    <row r="51">
      <c r="B51" s="14" t="inlineStr">
        <is>
          <t>AMBIGUOUS -- more than one line matched</t>
        </is>
      </c>
      <c r="C51" s="15">
        <f>COUNTIF(Samples!J5:J1000,"AMBIGUOUS")</f>
        <v/>
      </c>
    </row>
    <row r="52">
      <c r="B52" s="14" t="inlineStr">
        <is>
          <t>ERROR</t>
        </is>
      </c>
      <c r="C52" s="15">
        <f>COUNTIF(Samples!J5:J1000,"ERROR")</f>
        <v/>
      </c>
    </row>
    <row r="53">
      <c r="B53" s="14" t="inlineStr">
        <is>
          <t>Not started</t>
        </is>
      </c>
      <c r="C53" s="15">
        <f>COUNTBLANK(Samples!J5:J60)</f>
        <v/>
      </c>
    </row>
    <row r="54">
      <c r="B54" s="14" t="inlineStr">
        <is>
          <t>Files downloaded</t>
        </is>
      </c>
      <c r="C54" s="15">
        <f>SUM(Samples!N5:N1000)</f>
        <v/>
      </c>
    </row>
    <row r="55">
      <c r="B55" s="14" t="inlineStr">
        <is>
          <t>Samples with no named beneficiary in the request</t>
        </is>
      </c>
      <c r="C55" s="15">
        <f>COUNTIF(Samples!I5:I1000,"*no_named_beneficiary*")</f>
        <v/>
      </c>
    </row>
    <row r="56">
      <c r="B56" s="14" t="inlineStr">
        <is>
          <t>Reached a confirming (Santander SCF) payment</t>
        </is>
      </c>
      <c r="C56" s="15">
        <f>COUNTIF(Samples!O5:O1000,"*confirming party*")</f>
        <v/>
      </c>
    </row>
    <row r="57">
      <c r="B57" s="14" t="inlineStr">
        <is>
          <t>Samples the request already names as SANTANDER SCF</t>
        </is>
      </c>
      <c r="C57" s="15">
        <f>COUNTIF(Samples!G5:G1000,"*SANTANDER*")</f>
        <v/>
      </c>
    </row>
    <row r="60">
      <c r="B60" s="3" t="inlineStr">
        <is>
          <t>Assumptions baked into this workbook</t>
        </is>
      </c>
    </row>
    <row r="61" ht="28" customHeight="1">
      <c r="B61" s="14" t="inlineStr">
        <is>
          <t>1.</t>
        </is>
      </c>
      <c r="C61" s="16" t="inlineStr">
        <is>
          <t>Company code GBKM and the FEBAN transaction are taken from the requester's instruction, not from the auditor's workbook, which names neither.</t>
        </is>
      </c>
    </row>
    <row r="62" ht="28" customHeight="1">
      <c r="B62" s="14" t="inlineStr">
        <is>
          <t>2.</t>
        </is>
      </c>
      <c r="C62" s="16" t="inlineStr">
        <is>
          <t>The FEBAN statement-date range for each sample is the first to the last calendar day of the month containing that sample's payment date (column C and D formulas on 'Samples').</t>
        </is>
      </c>
    </row>
    <row r="63" ht="28" customHeight="1">
      <c r="B63" s="14" t="inlineStr">
        <is>
          <t>3.</t>
        </is>
      </c>
      <c r="C63" s="16" t="inlineStr">
        <is>
          <t>Sample amounts are stored as positive numbers. The auditor's workbook shows them unsigned even where the bank statement shows a debit.</t>
        </is>
      </c>
    </row>
    <row r="64" ht="28" customHeight="1">
      <c r="B64" s="14" t="inlineStr">
        <is>
          <t>4.</t>
        </is>
      </c>
      <c r="C64" s="16" t="inlineStr">
        <is>
          <t>Source of the sample list: 'Paper Samples' sheet, rows 5-60, of Samples_Paper_SURL260716_152455.962.xlsx as supplied by the auditor.</t>
        </is>
      </c>
    </row>
  </sheetData>
  <mergeCells count="4">
    <mergeCell ref="C63:D63"/>
    <mergeCell ref="C64:D64"/>
    <mergeCell ref="C61:D61"/>
    <mergeCell ref="C62:D62"/>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72"/>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Update-status column. The grid dump on PP2 shows no ESTAT -- VB1OK 'Update 1 OK' and VB2OK '2nd update OK' are what this release carries</t>
        </is>
      </c>
      <c r="D19" s="21" t="inlineStr">
        <is>
          <t>recorded</t>
        </is>
      </c>
      <c r="E19" s="22" t="inlineStr">
        <is>
          <t>No</t>
        </is>
      </c>
      <c r="F19" s="23" t="inlineStr">
        <is>
          <t>VB1OK</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Note-to-payee, logged beside each match as context. The grid dump shows no SGTXT; VWEZW is 'Payment Notes' and VGREF is 'Bank reference'</t>
        </is>
      </c>
      <c r="D21" s="21" t="inlineStr">
        <is>
          <t>recorded</t>
        </is>
      </c>
      <c r="E21" s="22" t="inlineStr">
        <is>
          <t>No</t>
        </is>
      </c>
      <c r="F21" s="23" t="inlineStr">
        <is>
          <t>VWEZW</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20" t="inlineStr">
        <is>
          <t>Doc.OverviewButton</t>
        </is>
      </c>
      <c r="C34" s="12" t="inlineStr">
        <is>
          <t>Document-overview button. F2 on the FBL1N list lands on the LINE ITEM, and Environment &gt; Payment usage lives on the document -- this is the hop between them, pressed in N1.vbs. Only used when the usage menu is missing, so clearing it just skips the attempt</t>
        </is>
      </c>
      <c r="D34" s="21" t="inlineStr">
        <is>
          <t>recorded</t>
        </is>
      </c>
      <c r="E34" s="22" t="inlineStr">
        <is>
          <t>No</t>
        </is>
      </c>
      <c r="F34" s="23" t="inlineStr">
        <is>
          <t>wnd[0]/tbar[1]/btn[9]</t>
        </is>
      </c>
    </row>
    <row r="35">
      <c r="B35" s="18" t="inlineStr">
        <is>
          <t>Step 6: Environment &gt; Payment Usage</t>
        </is>
      </c>
      <c r="C35" s="19" t="n"/>
      <c r="D35" s="19" t="n"/>
      <c r="E35" s="19" t="n"/>
      <c r="F35" s="19" t="n"/>
    </row>
    <row r="36">
      <c r="B36" s="20" t="inlineStr">
        <is>
          <t>PaymentUsage.Menu</t>
        </is>
      </c>
      <c r="C36" s="12" t="inlineStr">
        <is>
          <t>Menu path to the batch's payment documents. Confirmed in all four recordings</t>
        </is>
      </c>
      <c r="D36" s="21" t="inlineStr">
        <is>
          <t>recorded</t>
        </is>
      </c>
      <c r="E36" s="22" t="inlineStr">
        <is>
          <t>Yes</t>
        </is>
      </c>
      <c r="F36" s="23" t="inlineStr">
        <is>
          <t>wnd[0]/mbar/menu[5]/menu[3]</t>
        </is>
      </c>
    </row>
    <row r="37">
      <c r="B37" s="20" t="inlineStr">
        <is>
          <t>PaymentUsage.ListAnchor</t>
        </is>
      </c>
      <c r="C37" s="12" t="inlineStr">
        <is>
          <t>An element that exists on that list, used only to confirm the menu landed. Clear it to skip the check</t>
        </is>
      </c>
      <c r="D37" s="21" t="inlineStr">
        <is>
          <t>recorded</t>
        </is>
      </c>
      <c r="E37" s="22" t="inlineStr">
        <is>
          <t>No</t>
        </is>
      </c>
      <c r="F37" s="23" t="inlineStr">
        <is>
          <t>wnd[0]/usr/chk[1,6]</t>
        </is>
      </c>
    </row>
    <row r="38">
      <c r="B38" s="18" t="inlineStr">
        <is>
          <t>Step 7: classic list export (List &gt; Save/Send &gt; File)</t>
        </is>
      </c>
      <c r="C38" s="19" t="n"/>
      <c r="D38" s="19" t="n"/>
      <c r="E38" s="19" t="n"/>
      <c r="F38" s="19" t="n"/>
    </row>
    <row r="39">
      <c r="B39" s="20" t="inlineStr">
        <is>
          <t>Export.ListMenu</t>
        </is>
      </c>
      <c r="C39" s="12" t="inlineStr">
        <is>
          <t>Menu path that opens the save-list dialog</t>
        </is>
      </c>
      <c r="D39" s="21" t="inlineStr">
        <is>
          <t>recorded</t>
        </is>
      </c>
      <c r="E39" s="22" t="inlineStr">
        <is>
          <t>Yes</t>
        </is>
      </c>
      <c r="F39" s="23" t="inlineStr">
        <is>
          <t>wnd[0]/mbar/menu[0]/menu[3]/menu[1]</t>
        </is>
      </c>
    </row>
    <row r="40">
      <c r="B40" s="20" t="inlineStr">
        <is>
          <t>Export.FormatOkButton</t>
        </is>
      </c>
      <c r="C40" s="12" t="inlineStr">
        <is>
          <t>Confirm the file-format popup</t>
        </is>
      </c>
      <c r="D40" s="21" t="inlineStr">
        <is>
          <t>recorded</t>
        </is>
      </c>
      <c r="E40" s="22" t="inlineStr">
        <is>
          <t>Yes</t>
        </is>
      </c>
      <c r="F40" s="23" t="inlineStr">
        <is>
          <t>wnd[1]/tbar[0]/btn[0]</t>
        </is>
      </c>
    </row>
    <row r="41">
      <c r="B41" s="20" t="inlineStr">
        <is>
          <t>Save.Path</t>
        </is>
      </c>
      <c r="C41" s="12" t="inlineStr">
        <is>
          <t>Directory field</t>
        </is>
      </c>
      <c r="D41" s="21" t="inlineStr">
        <is>
          <t>recorded</t>
        </is>
      </c>
      <c r="E41" s="22" t="inlineStr">
        <is>
          <t>Yes</t>
        </is>
      </c>
      <c r="F41" s="23" t="inlineStr">
        <is>
          <t>wnd[1]/usr/ctxtDY_PATH</t>
        </is>
      </c>
    </row>
    <row r="42">
      <c r="B42" s="20" t="inlineStr">
        <is>
          <t>Save.FileName</t>
        </is>
      </c>
      <c r="C42" s="12" t="inlineStr">
        <is>
          <t>File name field. Confirmed in Audit2.vbs and Audit5.vbs</t>
        </is>
      </c>
      <c r="D42" s="21" t="inlineStr">
        <is>
          <t>recorded</t>
        </is>
      </c>
      <c r="E42" s="22" t="inlineStr">
        <is>
          <t>Yes</t>
        </is>
      </c>
      <c r="F42" s="23" t="inlineStr">
        <is>
          <t>wnd[1]/usr/ctxtDY_FILENAME</t>
        </is>
      </c>
    </row>
    <row r="43">
      <c r="B43" s="20" t="inlineStr">
        <is>
          <t>Save.Encoding</t>
        </is>
      </c>
      <c r="C43" s="12" t="inlineStr">
        <is>
          <t>Encoding field, where present. VERIFY</t>
        </is>
      </c>
      <c r="D43" s="24" t="inlineStr">
        <is>
          <t>VERIFY</t>
        </is>
      </c>
      <c r="E43" s="22" t="inlineStr">
        <is>
          <t>No</t>
        </is>
      </c>
      <c r="F43" s="23" t="inlineStr">
        <is>
          <t>wnd[1]/usr/ctxtDY_FILE_ENCODING</t>
        </is>
      </c>
    </row>
    <row r="44">
      <c r="B44" s="20" t="inlineStr">
        <is>
          <t>Save.GenerateButton</t>
        </is>
      </c>
      <c r="C44" s="12" t="inlineStr">
        <is>
          <t>Confirm the save. btn[0], not btn[11]</t>
        </is>
      </c>
      <c r="D44" s="21" t="inlineStr">
        <is>
          <t>recorded</t>
        </is>
      </c>
      <c r="E44" s="22" t="inlineStr">
        <is>
          <t>Yes</t>
        </is>
      </c>
      <c r="F44" s="23" t="inlineStr">
        <is>
          <t>wnd[1]/tbar[0]/btn[0]</t>
        </is>
      </c>
    </row>
    <row r="45">
      <c r="B45" s="18" t="inlineStr">
        <is>
          <t>Steps 8-9: FBL1N, the ZP payments of the batch</t>
        </is>
      </c>
      <c r="C45" s="19" t="n"/>
      <c r="D45" s="19" t="n"/>
      <c r="E45" s="19" t="n"/>
      <c r="F45" s="19" t="n"/>
    </row>
    <row r="46">
      <c r="B46" s="20" t="inlineStr">
        <is>
          <t>Fbl1n.AllItemsRadio</t>
        </is>
      </c>
      <c r="C46" s="12" t="inlineStr">
        <is>
          <t>'All items' radio</t>
        </is>
      </c>
      <c r="D46" s="21" t="inlineStr">
        <is>
          <t>recorded</t>
        </is>
      </c>
      <c r="E46" s="22" t="inlineStr">
        <is>
          <t>No</t>
        </is>
      </c>
      <c r="F46" s="23" t="inlineStr">
        <is>
          <t>wnd[0]/usr/radX_AISEL</t>
        </is>
      </c>
    </row>
    <row r="47">
      <c r="B47" s="20" t="inlineStr">
        <is>
          <t>Fbl1n.CompanyCode</t>
        </is>
      </c>
      <c r="C47" s="12" t="inlineStr">
        <is>
          <t>Company code. KD_BUKRS, not the DD_BUKRS that was predicted</t>
        </is>
      </c>
      <c r="D47" s="21" t="inlineStr">
        <is>
          <t>recorded</t>
        </is>
      </c>
      <c r="E47" s="22" t="inlineStr">
        <is>
          <t>No</t>
        </is>
      </c>
      <c r="F47" s="23" t="inlineStr">
        <is>
          <t>wnd[0]/usr/ctxtKD_BUKRS-LOW</t>
        </is>
      </c>
    </row>
    <row r="48">
      <c r="B48" s="20" t="inlineStr">
        <is>
          <t>Fbl1n.PostingDateFrom</t>
        </is>
      </c>
      <c r="C48" s="12" t="inlineStr">
        <is>
          <t>Posting date, low</t>
        </is>
      </c>
      <c r="D48" s="21" t="inlineStr">
        <is>
          <t>recorded</t>
        </is>
      </c>
      <c r="E48" s="22" t="inlineStr">
        <is>
          <t>No</t>
        </is>
      </c>
      <c r="F48" s="23" t="inlineStr">
        <is>
          <t>wnd[0]/usr/ctxtSO_BUDAT-LOW</t>
        </is>
      </c>
    </row>
    <row r="49">
      <c r="B49" s="20" t="inlineStr">
        <is>
          <t>Fbl1n.PostingDateTo</t>
        </is>
      </c>
      <c r="C49" s="12" t="inlineStr">
        <is>
          <t>Posting date, high</t>
        </is>
      </c>
      <c r="D49" s="21" t="inlineStr">
        <is>
          <t>recorded</t>
        </is>
      </c>
      <c r="E49" s="22" t="inlineStr">
        <is>
          <t>No</t>
        </is>
      </c>
      <c r="F49" s="23" t="inlineStr">
        <is>
          <t>wnd[0]/usr/ctxtSO_BUDAT-HIGH</t>
        </is>
      </c>
    </row>
    <row r="50">
      <c r="B50" s="20" t="inlineStr">
        <is>
          <t>Fbl1n.DynamicSelections</t>
        </is>
      </c>
      <c r="C50" s="12" t="inlineStr">
        <is>
          <t>Opens the dynamic-selections block. The document number is NOT on the main selection screen -- it lives in dynamic selections, so this has to be pressed before the field below exists</t>
        </is>
      </c>
      <c r="D50" s="21" t="inlineStr">
        <is>
          <t>recorded</t>
        </is>
      </c>
      <c r="E50" s="22" t="inlineStr">
        <is>
          <t>No</t>
        </is>
      </c>
      <c r="F50" s="23" t="inlineStr">
        <is>
          <t>wnd[0]/tbar[1]/btn[16]</t>
        </is>
      </c>
    </row>
    <row r="51" ht="30" customHeight="1">
      <c r="B51" s="20" t="inlineStr">
        <is>
          <t>Fbl1n.DocNumberField</t>
        </is>
      </c>
      <c r="C51" s="12" t="inlineStr">
        <is>
          <t>The document-number field itself, inside dynamic selections. Used when the batch holds a single document, so the multiple-selection dialog is not needed</t>
        </is>
      </c>
      <c r="D51" s="21" t="inlineStr">
        <is>
          <t>recorded</t>
        </is>
      </c>
      <c r="E51" s="22" t="inlineStr">
        <is>
          <t>No</t>
        </is>
      </c>
      <c r="F51" s="23" t="inlineStr">
        <is>
          <t>wnd[0]/usr/ssub%_SUBSCREEN_%_SUB%_CONTAINER:SAPLSSEL:2001/ssubSUBSCREEN_CONTAINER2:SAPLSSEL:2000/ssubSUBSCREEN_CONTAINER:SAPLSSEL:1106/txt%%DYN011-LOW</t>
        </is>
      </c>
    </row>
    <row r="52" ht="30" customHeight="1">
      <c r="B52" s="20" t="inlineStr">
        <is>
          <t>Fbl1n.DocNumberMultiSelect</t>
        </is>
      </c>
      <c r="C52" s="12" t="inlineStr">
        <is>
          <t>Multiple-selection arrow for document number, inside the dynamic-selections subscreen</t>
        </is>
      </c>
      <c r="D52" s="21" t="inlineStr">
        <is>
          <t>recorded</t>
        </is>
      </c>
      <c r="E52" s="22" t="inlineStr">
        <is>
          <t>No</t>
        </is>
      </c>
      <c r="F52" s="23" t="inlineStr">
        <is>
          <t>wnd[0]/usr/ssub%_SUBSCREEN_%_SUB%_CONTAINER:SAPLSSEL:2001/ssubSUBSCREEN_CONTAINER2:SAPLSSEL:2000/ssubSUBSCREEN_CONTAINER:SAPLSSEL:1106/btn%_%%DYN011_%_APP_%-VALU_PUSH</t>
        </is>
      </c>
    </row>
    <row r="53">
      <c r="B53" s="20" t="inlineStr">
        <is>
          <t>MultiSel.PasteFromClipboard</t>
        </is>
      </c>
      <c r="C53" s="12" t="inlineStr">
        <is>
          <t>'Upload from clipboard' on the multiple-selection dialog</t>
        </is>
      </c>
      <c r="D53" s="21" t="inlineStr">
        <is>
          <t>recorded</t>
        </is>
      </c>
      <c r="E53" s="22" t="inlineStr">
        <is>
          <t>No</t>
        </is>
      </c>
      <c r="F53" s="23" t="inlineStr">
        <is>
          <t>wnd[1]/tbar[0]/btn[24]</t>
        </is>
      </c>
    </row>
    <row r="54">
      <c r="B54" s="20" t="inlineStr">
        <is>
          <t>MultiSel.Confirm</t>
        </is>
      </c>
      <c r="C54" s="12" t="inlineStr">
        <is>
          <t>Copy on that dialog</t>
        </is>
      </c>
      <c r="D54" s="21" t="inlineStr">
        <is>
          <t>recorded</t>
        </is>
      </c>
      <c r="E54" s="22" t="inlineStr">
        <is>
          <t>No</t>
        </is>
      </c>
      <c r="F54" s="23" t="inlineStr">
        <is>
          <t>wnd[1]/tbar[0]/btn[8]</t>
        </is>
      </c>
    </row>
    <row r="55">
      <c r="B55" s="20" t="inlineStr">
        <is>
          <t>Fbl1n.ExecuteButton</t>
        </is>
      </c>
      <c r="C55" s="12" t="inlineStr">
        <is>
          <t>Execute</t>
        </is>
      </c>
      <c r="D55" s="21" t="inlineStr">
        <is>
          <t>recorded</t>
        </is>
      </c>
      <c r="E55" s="22" t="inlineStr">
        <is>
          <t>No</t>
        </is>
      </c>
      <c r="F55" s="23" t="inlineStr">
        <is>
          <t>wnd[0]/tbar[1]/btn[8]</t>
        </is>
      </c>
    </row>
    <row r="56">
      <c r="B56" s="20" t="inlineStr">
        <is>
          <t>Fbl1n.ResultAnchor</t>
        </is>
      </c>
      <c r="C56" s="12" t="inlineStr">
        <is>
          <t>Confirms the FBL1N result came up. NOTE: FBL1N renders as a CLASSIC LIST here (lbl[x,y]), not an ALV grid, so there is no grid to read -- the list is exported and read back instead. VERIFY</t>
        </is>
      </c>
      <c r="D56" s="24" t="inlineStr">
        <is>
          <t>VERIFY</t>
        </is>
      </c>
      <c r="E56" s="22" t="inlineStr">
        <is>
          <t>No</t>
        </is>
      </c>
      <c r="F56" s="23" t="inlineStr">
        <is>
          <t>wnd[0]/usr/lbl[164,8]</t>
        </is>
      </c>
    </row>
    <row r="57">
      <c r="B57" s="18" t="inlineStr">
        <is>
          <t>FB03: fallback only, not the normal path</t>
        </is>
      </c>
      <c r="C57" s="19" t="n"/>
      <c r="D57" s="19" t="n"/>
      <c r="E57" s="19" t="n"/>
      <c r="F57" s="19" t="n"/>
    </row>
    <row r="58">
      <c r="B58" s="20" t="inlineStr">
        <is>
          <t>FB03.DocNumber</t>
        </is>
      </c>
      <c r="C58" s="12" t="inlineStr">
        <is>
          <t>The largest payment is normally opened from the FBL1N list itself, by finding the label whose text is its document number -- the same F2 drill the recordings use, aimed by content instead of by screen position. FB03 is only used if that number is not on screen, e.g. a long list that has scrolled. Leave these blank to disable the fallback entirely. VERIFY</t>
        </is>
      </c>
      <c r="D58" s="24" t="inlineStr">
        <is>
          <t>VERIFY</t>
        </is>
      </c>
      <c r="E58" s="22" t="inlineStr">
        <is>
          <t>No</t>
        </is>
      </c>
      <c r="F58" s="23" t="inlineStr">
        <is>
          <t>wnd[0]/usr/txtRF05L-BELNR</t>
        </is>
      </c>
    </row>
    <row r="59">
      <c r="B59" s="20" t="inlineStr">
        <is>
          <t>FB03.CompanyCode</t>
        </is>
      </c>
      <c r="C59" s="12" t="inlineStr">
        <is>
          <t>Company code field on that screen. VERIFY</t>
        </is>
      </c>
      <c r="D59" s="24" t="inlineStr">
        <is>
          <t>VERIFY</t>
        </is>
      </c>
      <c r="E59" s="22" t="inlineStr">
        <is>
          <t>No</t>
        </is>
      </c>
      <c r="F59" s="23" t="inlineStr">
        <is>
          <t>wnd[0]/usr/ctxtRF05L-BUKRS</t>
        </is>
      </c>
    </row>
    <row r="60">
      <c r="B60" s="20" t="inlineStr">
        <is>
          <t>FB03.FiscalYear</t>
        </is>
      </c>
      <c r="C60" s="12" t="inlineStr">
        <is>
          <t>Fiscal year field on that screen. VERIFY</t>
        </is>
      </c>
      <c r="D60" s="24" t="inlineStr">
        <is>
          <t>VERIFY</t>
        </is>
      </c>
      <c r="E60" s="22" t="inlineStr">
        <is>
          <t>No</t>
        </is>
      </c>
      <c r="F60" s="23" t="inlineStr">
        <is>
          <t>wnd[0]/usr/txtRF05L-GJAHR</t>
        </is>
      </c>
    </row>
    <row r="61">
      <c r="B61" s="18" t="inlineStr">
        <is>
          <t>Step 10: the largest payment's invoices, and the PDF</t>
        </is>
      </c>
      <c r="C61" s="19" t="n"/>
      <c r="D61" s="19" t="n"/>
      <c r="E61" s="19" t="n"/>
      <c r="F61" s="19" t="n"/>
    </row>
    <row r="62">
      <c r="B62" s="20" t="inlineStr">
        <is>
          <t>Payment.UsageMenu</t>
        </is>
      </c>
      <c r="C62" s="12" t="inlineStr">
        <is>
          <t>Environment &gt; Payment usage from inside the payment document. menu[4] here, not the menu[5] used from the clearing document -- menu indices differ per screen. VERIFY</t>
        </is>
      </c>
      <c r="D62" s="24" t="inlineStr">
        <is>
          <t>VERIFY</t>
        </is>
      </c>
      <c r="E62" s="22" t="inlineStr">
        <is>
          <t>No</t>
        </is>
      </c>
      <c r="F62" s="23" t="inlineStr">
        <is>
          <t>wnd[0]/mbar/menu[4]/menu[3]</t>
        </is>
      </c>
    </row>
    <row r="63">
      <c r="B63" s="20" t="inlineStr">
        <is>
          <t>Invoice.GosToolbox</t>
        </is>
      </c>
      <c r="C63" s="12" t="inlineStr">
        <is>
          <t>Services-for-object toolbox. The container index is NOT stable -- N1.vbs found it at shellcont[2] and B2.vbs at shellcont[1] on the same system, because it depends on what else the title bar carries. The macro tries this value first and then probes the neighbours, so it is a hint, not a hard ID</t>
        </is>
      </c>
      <c r="D63" s="21" t="inlineStr">
        <is>
          <t>recorded</t>
        </is>
      </c>
      <c r="E63" s="22" t="inlineStr">
        <is>
          <t>No</t>
        </is>
      </c>
      <c r="F63" s="23" t="inlineStr">
        <is>
          <t>wnd[0]/titl/shellcont[1]/shell</t>
        </is>
      </c>
    </row>
    <row r="64">
      <c r="B64" s="20" t="inlineStr">
        <is>
          <t>Invoice.AttachListGrid</t>
        </is>
      </c>
      <c r="C64" s="12" t="inlineStr">
        <is>
          <t>Attachment-list grid. CONTAINER_0100</t>
        </is>
      </c>
      <c r="D64" s="21" t="inlineStr">
        <is>
          <t>recorded</t>
        </is>
      </c>
      <c r="E64" s="22" t="inlineStr">
        <is>
          <t>No</t>
        </is>
      </c>
      <c r="F64" s="23" t="inlineStr">
        <is>
          <t>wnd[1]/usr/cntlCONTAINER_0100/shellcont/shell</t>
        </is>
      </c>
    </row>
    <row r="65">
      <c r="B65" s="20" t="inlineStr">
        <is>
          <t>Invoice.AttachListColumn</t>
        </is>
      </c>
      <c r="C65" s="12" t="inlineStr">
        <is>
          <t>Column used to select the attachment row</t>
        </is>
      </c>
      <c r="D65" s="21" t="inlineStr">
        <is>
          <t>recorded</t>
        </is>
      </c>
      <c r="E65" s="22" t="inlineStr">
        <is>
          <t>No</t>
        </is>
      </c>
      <c r="F65" s="23" t="inlineStr">
        <is>
          <t>BITM_DESCR</t>
        </is>
      </c>
    </row>
    <row r="66">
      <c r="B66" s="20" t="inlineStr">
        <is>
          <t>Invoice.ExportMenuItem</t>
        </is>
      </c>
      <c r="C66" s="12" t="inlineStr">
        <is>
          <t>Context-menu entry that saves the attachment. A CONTEXT MENU item, not the toolbar button that was predicted</t>
        </is>
      </c>
      <c r="D66" s="21" t="inlineStr">
        <is>
          <t>recorded</t>
        </is>
      </c>
      <c r="E66" s="22" t="inlineStr">
        <is>
          <t>No</t>
        </is>
      </c>
      <c r="F66" s="23" t="inlineStr">
        <is>
          <t>%ATTA_EXPORT</t>
        </is>
      </c>
    </row>
    <row r="67">
      <c r="B67" s="20" t="inlineStr">
        <is>
          <t>Invoice.SaveWindow</t>
        </is>
      </c>
      <c r="C67" s="12" t="inlineStr">
        <is>
          <t>Window the PDF save dialog opens in. wnd[2], because the attachment list is already wnd[1]</t>
        </is>
      </c>
      <c r="D67" s="21" t="inlineStr">
        <is>
          <t>recorded</t>
        </is>
      </c>
      <c r="E67" s="22" t="inlineStr">
        <is>
          <t>No</t>
        </is>
      </c>
      <c r="F67" s="23" t="inlineStr">
        <is>
          <t>wnd[2]</t>
        </is>
      </c>
    </row>
    <row r="68">
      <c r="B68" s="20" t="inlineStr">
        <is>
          <t>Invoice.CloseAttachList</t>
        </is>
      </c>
      <c r="C68" s="12" t="inlineStr">
        <is>
          <t>Closes the attachment list afterwards</t>
        </is>
      </c>
      <c r="D68" s="21" t="inlineStr">
        <is>
          <t>recorded</t>
        </is>
      </c>
      <c r="E68" s="22" t="inlineStr">
        <is>
          <t>No</t>
        </is>
      </c>
      <c r="F68" s="23" t="inlineStr">
        <is>
          <t>wnd[1]/tbar[0]/btn[0]</t>
        </is>
      </c>
    </row>
    <row r="70" ht="30" customHeight="1">
      <c r="B70" s="16" t="inlineStr">
        <is>
          <t>The macro reads column F only. A blank 'Required = Yes' row aborts the run with a message naming the missing key, rather than guessing at an ID.</t>
        </is>
      </c>
    </row>
    <row r="71" ht="30" customHeight="1">
      <c r="B71" s="16" t="inlineStr">
        <is>
          <t>FEBAN's selection screen is a modal popup on this system (wnd[1]), not a full screen. That is why FEBAN.SelectionWindow exists -- the macro has to know which window to press Execute in.</t>
        </is>
      </c>
    </row>
    <row r="72" ht="30" customHeight="1">
      <c r="B72" s="16" t="inlineStr">
        <is>
          <t>The recording entered dates as 8 digits with no separators (01092025). The Control sheet's 'SAP date format' is set to DDMMYYYY to match. Do not change it to DMY unless you have checked that this system accepts 01.09.2025 as well.</t>
        </is>
      </c>
    </row>
  </sheetData>
  <mergeCells count="15">
    <mergeCell ref="B70:F70"/>
    <mergeCell ref="B6:F6"/>
    <mergeCell ref="B38:F38"/>
    <mergeCell ref="B15:F15"/>
    <mergeCell ref="B28:F28"/>
    <mergeCell ref="B72:F72"/>
    <mergeCell ref="B3:F3"/>
    <mergeCell ref="B45:F45"/>
    <mergeCell ref="B61:F61"/>
    <mergeCell ref="B22:F22"/>
    <mergeCell ref="B71:F71"/>
    <mergeCell ref="B32:F32"/>
    <mergeCell ref="B26:F26"/>
    <mergeCell ref="B57:F57"/>
    <mergeCell ref="B35:F35"/>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P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s>
  <sheetData>
    <row r="2">
      <c r="A2" s="1" t="inlineStr">
        <is>
          <t>Audit samples</t>
        </is>
      </c>
    </row>
    <row r="3">
      <c r="A3" s="2" t="inlineStr">
        <is>
          <t>Extracted from the auditor's 'Paper Samples' sheet by scripts/extract_samples.py.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2026-07-31T08:21:58Z</dcterms:created>
  <dcterms:modified xsi:type="dcterms:W3CDTF">2026-07-31T08:21:58Z</dcterms:modified>
</cp:coreProperties>
</file>