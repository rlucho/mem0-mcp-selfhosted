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6"/>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attachment title contains</t>
        </is>
      </c>
      <c r="C33" s="11" t="inlineStr">
        <is>
          <t>Invoice</t>
        </is>
      </c>
      <c r="D33"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4">
      <c r="B34" s="10" t="inlineStr">
        <is>
          <t>Invoice document type</t>
        </is>
      </c>
      <c r="C34" s="11" t="inlineStr">
        <is>
          <t>KR, RN</t>
        </is>
      </c>
      <c r="D34"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5">
      <c r="B35" s="10" t="inlineStr">
        <is>
          <t>Invoice list amount column</t>
        </is>
      </c>
      <c r="C35" s="11" t="inlineStr"/>
      <c r="D35" s="12" t="inlineStr">
        <is>
          <t>Santander SCF route only. Caption of the amount column in the exported list of invoices behind an SCF payment. Blank falls back to a built-in list of captions.</t>
        </is>
      </c>
    </row>
    <row r="36">
      <c r="B36" s="10" t="inlineStr">
        <is>
          <t>Invoice list supplier column</t>
        </is>
      </c>
      <c r="C36" s="11" t="inlineStr"/>
      <c r="D36" s="12" t="inlineStr">
        <is>
          <t>Caption of the supplier column in that same file.</t>
        </is>
      </c>
    </row>
    <row r="37">
      <c r="B37" s="10" t="inlineStr">
        <is>
          <t>Invoice list document column</t>
        </is>
      </c>
      <c r="C37" s="11" t="inlineStr"/>
      <c r="D37" s="12" t="inlineStr">
        <is>
          <t>Caption of the invoice-number column in that same file.</t>
        </is>
      </c>
    </row>
    <row r="38">
      <c r="B38" s="10" t="inlineStr">
        <is>
          <t>Extra popup titles to allow</t>
        </is>
      </c>
      <c r="C38" s="11" t="inlineStr"/>
      <c r="D38"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9">
      <c r="B39" s="10" t="inlineStr">
        <is>
          <t>Operator name</t>
        </is>
      </c>
      <c r="C39" s="11" t="inlineStr"/>
      <c r="D39" s="12" t="inlineStr">
        <is>
          <t>Written into the log for the audit trail.</t>
        </is>
      </c>
    </row>
    <row r="42">
      <c r="B42" s="3" t="inlineStr">
        <is>
          <t>Progress (formulas over the Samples sheet)</t>
        </is>
      </c>
    </row>
    <row r="43">
      <c r="B43" s="14" t="inlineStr">
        <is>
          <t>Samples in the sheet</t>
        </is>
      </c>
      <c r="C43" s="15">
        <f>COUNTA(Samples!A5:A1000)</f>
        <v/>
      </c>
    </row>
    <row r="44">
      <c r="B44" s="14" t="inlineStr">
        <is>
          <t>Included in the next run</t>
        </is>
      </c>
      <c r="C44" s="15">
        <f>COUNTIF(Samples!P5:P1000,"Yes")+COUNTBLANK(Samples!P5:P60)</f>
        <v/>
      </c>
    </row>
    <row r="45">
      <c r="B45" s="14" t="inlineStr">
        <is>
          <t>Excluded</t>
        </is>
      </c>
      <c r="C45" s="15">
        <f>COUNTIF(Samples!P5:P1000,"No")</f>
        <v/>
      </c>
    </row>
    <row r="46">
      <c r="B46" s="14" t="inlineStr">
        <is>
          <t>DONE -- invoice downloaded</t>
        </is>
      </c>
      <c r="C46" s="15">
        <f>COUNTIF(Samples!J5:J1000,"DONE")</f>
        <v/>
      </c>
    </row>
    <row r="47">
      <c r="B47" s="14" t="inlineStr">
        <is>
          <t>BLOCKED_FBL1N -- steps 8-9 not mapped yet</t>
        </is>
      </c>
      <c r="C47" s="15">
        <f>COUNTIF(Samples!J5:J1000,"BLOCKED_FBL1N")</f>
        <v/>
      </c>
    </row>
    <row r="48">
      <c r="B48" s="14" t="inlineStr">
        <is>
          <t>BLOCKED_INVOICE -- reached the payment, no PDF</t>
        </is>
      </c>
      <c r="C48" s="15">
        <f>COUNTIF(Samples!J5:J1000,"BLOCKED_INVOICE")</f>
        <v/>
      </c>
    </row>
    <row r="49">
      <c r="B49" s="14" t="inlineStr">
        <is>
          <t>PARTIAL -- traced, no invoice file</t>
        </is>
      </c>
      <c r="C49" s="15">
        <f>COUNTIF(Samples!J5:J1000,"PARTIAL")</f>
        <v/>
      </c>
    </row>
    <row r="50">
      <c r="B50" s="14" t="inlineStr">
        <is>
          <t>NO CLEARING -- internal transfer, line items exported</t>
        </is>
      </c>
      <c r="C50" s="15">
        <f>COUNTIF(Samples!J5:J1000,"NO CLEARING")</f>
        <v/>
      </c>
    </row>
    <row r="51">
      <c r="B51" s="14" t="inlineStr">
        <is>
          <t>NO VENDOR PAYMENTS -- treasury/FX settlement</t>
        </is>
      </c>
      <c r="C51" s="15">
        <f>COUNTIF(Samples!J5:J1000,"NO VENDOR PAYMENTS")</f>
        <v/>
      </c>
    </row>
    <row r="52">
      <c r="B52" s="14" t="inlineStr">
        <is>
          <t>NOT FOUND -- no matching statement line</t>
        </is>
      </c>
      <c r="C52" s="15">
        <f>COUNTIF(Samples!J5:J1000,"NOT FOUND")</f>
        <v/>
      </c>
    </row>
    <row r="53">
      <c r="B53" s="14" t="inlineStr">
        <is>
          <t>AMBIGUOUS -- more than one line matched</t>
        </is>
      </c>
      <c r="C53" s="15">
        <f>COUNTIF(Samples!J5:J1000,"AMBIGUOUS")</f>
        <v/>
      </c>
    </row>
    <row r="54">
      <c r="B54" s="14" t="inlineStr">
        <is>
          <t>ERROR</t>
        </is>
      </c>
      <c r="C54" s="15">
        <f>COUNTIF(Samples!J5:J1000,"ERROR")</f>
        <v/>
      </c>
    </row>
    <row r="55">
      <c r="B55" s="14" t="inlineStr">
        <is>
          <t>Not started</t>
        </is>
      </c>
      <c r="C55" s="15">
        <f>COUNTBLANK(Samples!J5:J60)</f>
        <v/>
      </c>
    </row>
    <row r="56">
      <c r="B56" s="14" t="inlineStr">
        <is>
          <t>Files downloaded</t>
        </is>
      </c>
      <c r="C56" s="15">
        <f>SUM(Samples!N5:N1000)</f>
        <v/>
      </c>
    </row>
    <row r="57">
      <c r="B57" s="14" t="inlineStr">
        <is>
          <t>Samples with no named beneficiary in the request</t>
        </is>
      </c>
      <c r="C57" s="15">
        <f>COUNTIF(Samples!I5:I1000,"*no_named_beneficiary*")</f>
        <v/>
      </c>
    </row>
    <row r="58">
      <c r="B58" s="14" t="inlineStr">
        <is>
          <t>Reached a confirming (Santander SCF) payment</t>
        </is>
      </c>
      <c r="C58" s="15">
        <f>COUNTIF(Samples!O5:O1000,"*confirming party*")</f>
        <v/>
      </c>
    </row>
    <row r="59">
      <c r="B59" s="14" t="inlineStr">
        <is>
          <t>Samples the request already names as SANTANDER SCF</t>
        </is>
      </c>
      <c r="C59" s="15">
        <f>COUNTIF(Samples!G5:G1000,"*SANTANDER*")</f>
        <v/>
      </c>
    </row>
    <row r="62">
      <c r="B62" s="3" t="inlineStr">
        <is>
          <t>Assumptions baked into this workbook</t>
        </is>
      </c>
    </row>
    <row r="63" ht="28" customHeight="1">
      <c r="B63" s="14" t="inlineStr">
        <is>
          <t>1.</t>
        </is>
      </c>
      <c r="C63" s="16" t="inlineStr">
        <is>
          <t>Company code GBKM and the FEBAN transaction are taken from the requester's instruction, not from the auditor's workbook, which names neither.</t>
        </is>
      </c>
    </row>
    <row r="64" ht="28" customHeight="1">
      <c r="B64" s="14" t="inlineStr">
        <is>
          <t>2.</t>
        </is>
      </c>
      <c r="C64" s="16" t="inlineStr">
        <is>
          <t>The FEBAN statement-date range for each sample is the first to the last calendar day of the month containing that sample's payment date (column C and D formulas on 'Samples').</t>
        </is>
      </c>
    </row>
    <row r="65" ht="28" customHeight="1">
      <c r="B65" s="14" t="inlineStr">
        <is>
          <t>3.</t>
        </is>
      </c>
      <c r="C65" s="16" t="inlineStr">
        <is>
          <t>Sample amounts are stored as positive numbers. The auditor's workbook shows them unsigned even where the bank statement shows a debit.</t>
        </is>
      </c>
    </row>
    <row r="66" ht="28" customHeight="1">
      <c r="B66" s="14" t="inlineStr">
        <is>
          <t>4.</t>
        </is>
      </c>
      <c r="C66" s="16" t="inlineStr">
        <is>
          <t>Source of the sample list: 'Paper Samples' sheet, rows 5-60, of Samples_Paper_SURL260716_152455.962.xlsx as supplied by the auditor.</t>
        </is>
      </c>
    </row>
  </sheetData>
  <mergeCells count="4">
    <mergeCell ref="C65:D65"/>
    <mergeCell ref="C64:D64"/>
    <mergeCell ref="C63:D63"/>
    <mergeCell ref="C66:D66"/>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U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 width="16" customWidth="1" min="20" max="20"/>
    <col width="12" customWidth="1" min="21" max="21"/>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c r="T4" s="17" t="inlineStr">
        <is>
          <t>Start document</t>
        </is>
      </c>
      <c r="U4" s="17" t="inlineStr">
        <is>
          <t>Start at</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c r="T5" s="10" t="n"/>
      <c r="U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c r="T6" s="10" t="n"/>
      <c r="U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c r="T7" s="10" t="n"/>
      <c r="U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c r="T8" s="10" t="n"/>
      <c r="U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c r="T9" s="10" t="n"/>
      <c r="U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c r="T10" s="10" t="n"/>
      <c r="U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c r="T11" s="10" t="n"/>
      <c r="U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c r="T12" s="10" t="n"/>
      <c r="U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c r="T13" s="10" t="n"/>
      <c r="U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c r="T14" s="10" t="n"/>
      <c r="U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c r="T15" s="10" t="n"/>
      <c r="U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c r="T16" s="10" t="n"/>
      <c r="U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c r="T17" s="10" t="n"/>
      <c r="U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c r="T18" s="10" t="n"/>
      <c r="U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c r="T19" s="10" t="n"/>
      <c r="U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c r="T20" s="10" t="n"/>
      <c r="U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c r="T21" s="10" t="n"/>
      <c r="U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c r="T22" s="10" t="n"/>
      <c r="U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c r="T23" s="10" t="n"/>
      <c r="U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c r="T24" s="10" t="n"/>
      <c r="U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c r="T25" s="10" t="n"/>
      <c r="U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c r="T26" s="10" t="n"/>
      <c r="U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c r="T27" s="10" t="n"/>
      <c r="U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c r="T28" s="10" t="n"/>
      <c r="U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c r="T29" s="10" t="n"/>
      <c r="U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c r="T30" s="10" t="n"/>
      <c r="U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c r="T31" s="10" t="n"/>
      <c r="U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c r="T32" s="10" t="n"/>
      <c r="U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c r="T33" s="10" t="n"/>
      <c r="U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c r="T34" s="10" t="n"/>
      <c r="U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c r="T35" s="10" t="n"/>
      <c r="U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c r="T36" s="10" t="n"/>
      <c r="U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c r="T37" s="10" t="n"/>
      <c r="U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c r="T38" s="10" t="n"/>
      <c r="U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c r="T39" s="10" t="n"/>
      <c r="U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c r="T40" s="10" t="n"/>
      <c r="U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c r="T41" s="10" t="n"/>
      <c r="U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c r="T42" s="10" t="n"/>
      <c r="U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c r="T43" s="10" t="n"/>
      <c r="U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c r="T44" s="10" t="n"/>
      <c r="U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c r="T45" s="10" t="n"/>
      <c r="U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c r="T46" s="10" t="n"/>
      <c r="U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c r="T47" s="10" t="n"/>
      <c r="U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c r="T48" s="10" t="n"/>
      <c r="U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c r="T49" s="10" t="n"/>
      <c r="U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c r="T50" s="10" t="n"/>
      <c r="U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c r="T51" s="10" t="n"/>
      <c r="U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c r="T52" s="10" t="n"/>
      <c r="U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c r="T53" s="10" t="n"/>
      <c r="U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c r="T54" s="10" t="n"/>
      <c r="U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c r="T55" s="10" t="n"/>
      <c r="U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c r="T56" s="10" t="n"/>
      <c r="U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c r="T57" s="10" t="n"/>
      <c r="U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c r="T58" s="10" t="n"/>
      <c r="U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c r="T59" s="10" t="n"/>
      <c r="U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c r="T60" s="10" t="n"/>
      <c r="U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2026-07-31T12:00:07Z</dcterms:created>
  <dcterms:modified xsi:type="dcterms:W3CDTF">2026-07-31T12:00:07Z</dcterms:modified>
</cp:coreProperties>
</file>